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oltek365-my.sharepoint.com/personal/crystal_holtek_com_tw/Documents/文件/"/>
    </mc:Choice>
  </mc:AlternateContent>
  <xr:revisionPtr revIDLastSave="7" documentId="11_B508EB7416D4E95F25DBA515C3BBB702791E0CA2" xr6:coauthVersionLast="47" xr6:coauthVersionMax="47" xr10:uidLastSave="{36D71980-2CEB-4F2E-98CD-D19880E472DD}"/>
  <bookViews>
    <workbookView xWindow="-110" yWindow="-110" windowWidth="19420" windowHeight="10300" tabRatio="864" activeTab="4" xr2:uid="{00000000-000D-0000-FFFF-FFFF00000000}"/>
  </bookViews>
  <sheets>
    <sheet name="Sheet6" sheetId="18" r:id="rId1"/>
    <sheet name="堆高機租賃-家煌" sheetId="17" r:id="rId2"/>
    <sheet name="堆高機租賃-銀行 108.11.22" sheetId="15" r:id="rId3"/>
    <sheet name="堆高機存貨-銀行108.11.22" sheetId="16" r:id="rId4"/>
    <sheet name="堆高機" sheetId="8" r:id="rId5"/>
    <sheet name="已售" sheetId="3" r:id="rId6"/>
    <sheet name="Sheet1" sheetId="4" r:id="rId7"/>
    <sheet name="Sheet2" sheetId="7" r:id="rId8"/>
    <sheet name="Sheet3" sheetId="9" r:id="rId9"/>
    <sheet name="Sheet4" sheetId="10" r:id="rId10"/>
  </sheets>
  <definedNames>
    <definedName name="_xlnm._FilterDatabase" localSheetId="5" hidden="1">已售!$A$2:$M$409</definedName>
    <definedName name="_xlnm._FilterDatabase" localSheetId="4" hidden="1">堆高機!$A$2:$M$189</definedName>
    <definedName name="_xlnm._FilterDatabase" localSheetId="3" hidden="1">'堆高機存貨-銀行108.11.22'!$B$2:$H$22</definedName>
    <definedName name="_xlnm._FilterDatabase" localSheetId="1" hidden="1">'堆高機租賃-家煌'!$B$2:$H$52</definedName>
    <definedName name="_xlnm._FilterDatabase" localSheetId="2" hidden="1">'堆高機租賃-銀行 108.11.22'!$B$2:$J$52</definedName>
    <definedName name="_xlnm.Print_Area" localSheetId="4">堆高機!$A$1:$M$21</definedName>
    <definedName name="_xlnm.Print_Area" localSheetId="3">'堆高機存貨-銀行108.11.22'!$B$1:$H$8</definedName>
    <definedName name="_xlnm.Print_Area" localSheetId="1">'堆高機租賃-家煌'!$B$1:$H$8</definedName>
    <definedName name="_xlnm.Print_Area" localSheetId="2">'堆高機租賃-銀行 108.11.22'!$B$1:$J$8</definedName>
    <definedName name="_xlnm.Print_Titles" localSheetId="5">已售!$2:$2</definedName>
    <definedName name="_xlnm.Print_Titles" localSheetId="4">堆高機!$1:$2</definedName>
    <definedName name="_xlnm.Print_Titles" localSheetId="3">'堆高機存貨-銀行108.11.22'!$1:$2</definedName>
    <definedName name="_xlnm.Print_Titles" localSheetId="1">'堆高機租賃-家煌'!$1:$2</definedName>
    <definedName name="_xlnm.Print_Titles" localSheetId="2">'堆高機租賃-銀行 108.11.22'!$1:$2</definedName>
  </definedNames>
  <calcPr calcId="191029" iterate="1" iterate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1" i="8" l="1"/>
  <c r="G200" i="8" l="1"/>
  <c r="G201" i="8" s="1"/>
  <c r="I288" i="3" l="1"/>
  <c r="I287" i="3"/>
  <c r="I286" i="3"/>
  <c r="I224" i="3"/>
  <c r="I220" i="3"/>
  <c r="G151" i="8"/>
  <c r="H78" i="16"/>
  <c r="K51" i="15"/>
  <c r="J51" i="15"/>
  <c r="I51" i="17"/>
  <c r="G66" i="18"/>
  <c r="G42" i="18"/>
  <c r="G28" i="18"/>
  <c r="G23" i="18"/>
  <c r="G19" i="18"/>
  <c r="G11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22" authorId="0" shapeId="0" xr:uid="{00000000-0006-0000-0000-000001000000}">
      <text>
        <r>
          <rPr>
            <b/>
            <sz val="12"/>
            <color indexed="81"/>
            <rFont val="Tahoma"/>
            <family val="2"/>
          </rPr>
          <t>106.07.21</t>
        </r>
        <r>
          <rPr>
            <b/>
            <sz val="12"/>
            <color indexed="81"/>
            <rFont val="細明體"/>
            <family val="3"/>
            <charset val="136"/>
          </rPr>
          <t>到貨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36" authorId="0" shapeId="0" xr:uid="{00000000-0006-0000-0100-000001000000}">
      <text>
        <r>
          <rPr>
            <b/>
            <sz val="12"/>
            <color indexed="81"/>
            <rFont val="Tahoma"/>
            <family val="2"/>
          </rPr>
          <t>106.07.21</t>
        </r>
        <r>
          <rPr>
            <b/>
            <sz val="12"/>
            <color indexed="81"/>
            <rFont val="細明體"/>
            <family val="3"/>
            <charset val="136"/>
          </rPr>
          <t>到貨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36" authorId="0" shapeId="0" xr:uid="{00000000-0006-0000-0200-000001000000}">
      <text>
        <r>
          <rPr>
            <b/>
            <sz val="12"/>
            <color indexed="81"/>
            <rFont val="Tahoma"/>
            <family val="2"/>
          </rPr>
          <t>106.07.21</t>
        </r>
        <r>
          <rPr>
            <b/>
            <sz val="12"/>
            <color indexed="81"/>
            <rFont val="細明體"/>
            <family val="3"/>
            <charset val="136"/>
          </rPr>
          <t>到貨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7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 xml:space="preserve">進貨 100.05.17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7" authorId="0" shapeId="0" xr:uid="{00000000-0006-0000-0300-000002000000}">
      <text>
        <r>
          <rPr>
            <b/>
            <sz val="18"/>
            <color indexed="81"/>
            <rFont val="Tahoma"/>
            <family val="2"/>
          </rPr>
          <t>TD04023B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  <author>user</author>
    <author>TIGER-XP</author>
  </authors>
  <commentList>
    <comment ref="J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105.06.15</t>
        </r>
        <r>
          <rPr>
            <b/>
            <sz val="9"/>
            <color indexed="81"/>
            <rFont val="細明體"/>
            <family val="3"/>
            <charset val="136"/>
          </rPr>
          <t>成龍退租
110.12.04永翔興取回</t>
        </r>
      </text>
    </comment>
    <comment ref="J9" authorId="0" shapeId="0" xr:uid="{00000000-0006-0000-0400-000002000000}">
      <text>
        <r>
          <rPr>
            <b/>
            <sz val="12"/>
            <color indexed="81"/>
            <rFont val="Tahoma"/>
            <family val="2"/>
          </rPr>
          <t>105.10.19</t>
        </r>
        <r>
          <rPr>
            <b/>
            <sz val="12"/>
            <color indexed="81"/>
            <rFont val="細明體"/>
            <family val="3"/>
            <charset val="136"/>
          </rPr>
          <t>借慶豐富
105.11.23慶豐富拖回
106.06.28羊墡借用
106.07.14羊墡取回
107.07.09拖去成龍，取回no250
107.11.29從成龍拖回
108.04.26拖去慶豐富施工，直接租賃
110.12.04永翔興取回</t>
        </r>
      </text>
    </comment>
    <comment ref="B10" authorId="0" shapeId="0" xr:uid="{00000000-0006-0000-0400-000003000000}">
      <text>
        <r>
          <rPr>
            <b/>
            <sz val="12"/>
            <color indexed="81"/>
            <rFont val="細明體"/>
            <family val="3"/>
            <charset val="136"/>
          </rPr>
          <t>合升估回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F10" authorId="0" shapeId="0" xr:uid="{00000000-0006-0000-0400-000004000000}">
      <text>
        <r>
          <rPr>
            <b/>
            <sz val="9"/>
            <color indexed="81"/>
            <rFont val="細明體"/>
            <family val="3"/>
            <charset val="136"/>
          </rPr>
          <t xml:space="preserve">進貨 100.05.17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" authorId="1" shapeId="0" xr:uid="{00000000-0006-0000-0400-000005000000}">
      <text>
        <r>
          <rPr>
            <b/>
            <sz val="12"/>
            <color indexed="81"/>
            <rFont val="細明體"/>
            <family val="3"/>
            <charset val="136"/>
          </rPr>
          <t>鑄盛</t>
        </r>
        <r>
          <rPr>
            <b/>
            <sz val="12"/>
            <color indexed="81"/>
            <rFont val="Tahoma"/>
            <family val="2"/>
          </rPr>
          <t>114.5</t>
        </r>
        <r>
          <rPr>
            <b/>
            <sz val="12"/>
            <color indexed="81"/>
            <rFont val="細明體"/>
            <family val="3"/>
            <charset val="136"/>
          </rPr>
          <t>月估回</t>
        </r>
      </text>
    </comment>
    <comment ref="H12" authorId="2" shapeId="0" xr:uid="{00000000-0006-0000-04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101/03/27</t>
        </r>
        <r>
          <rPr>
            <sz val="10"/>
            <color indexed="81"/>
            <rFont val="細明體"/>
            <family val="3"/>
            <charset val="136"/>
          </rPr>
          <t>售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細明體"/>
            <family val="3"/>
            <charset val="136"/>
          </rPr>
          <t>凱薩克</t>
        </r>
        <r>
          <rPr>
            <sz val="10"/>
            <color indexed="81"/>
            <rFont val="Tahoma"/>
            <family val="2"/>
          </rPr>
          <t>18</t>
        </r>
        <r>
          <rPr>
            <sz val="10"/>
            <color indexed="81"/>
            <rFont val="細明體"/>
            <family val="3"/>
            <charset val="136"/>
          </rPr>
          <t xml:space="preserve">萬
</t>
        </r>
        <r>
          <rPr>
            <sz val="10"/>
            <color indexed="81"/>
            <rFont val="Tahoma"/>
            <family val="2"/>
          </rPr>
          <t>109.3</t>
        </r>
        <r>
          <rPr>
            <sz val="10"/>
            <color indexed="81"/>
            <rFont val="細明體"/>
            <family val="3"/>
            <charset val="136"/>
          </rPr>
          <t>估回抵料架</t>
        </r>
        <r>
          <rPr>
            <sz val="10"/>
            <color indexed="81"/>
            <rFont val="Tahoma"/>
            <family val="2"/>
          </rPr>
          <t>7</t>
        </r>
        <r>
          <rPr>
            <sz val="10"/>
            <color indexed="81"/>
            <rFont val="細明體"/>
            <family val="3"/>
            <charset val="136"/>
          </rPr>
          <t>萬</t>
        </r>
      </text>
    </comment>
    <comment ref="F13" authorId="0" shapeId="0" xr:uid="{00000000-0006-0000-0400-000007000000}">
      <text>
        <r>
          <rPr>
            <b/>
            <sz val="12"/>
            <color indexed="81"/>
            <rFont val="Tahoma"/>
            <family val="2"/>
          </rPr>
          <t>102/05/10</t>
        </r>
        <r>
          <rPr>
            <b/>
            <sz val="12"/>
            <color indexed="81"/>
            <rFont val="新細明體"/>
            <family val="1"/>
            <charset val="136"/>
          </rPr>
          <t>出售 昌祥20萬
112.04估回+售出NO.103=7萬8</t>
        </r>
        <r>
          <rPr>
            <b/>
            <sz val="12"/>
            <color indexed="81"/>
            <rFont val="Tahoma"/>
            <family val="2"/>
          </rPr>
          <t xml:space="preserve"> </t>
        </r>
      </text>
    </comment>
    <comment ref="G15" authorId="0" shapeId="0" xr:uid="{00000000-0006-0000-0400-000008000000}">
      <text>
        <r>
          <rPr>
            <b/>
            <sz val="9"/>
            <color indexed="81"/>
            <rFont val="細明體"/>
            <family val="3"/>
            <charset val="136"/>
          </rPr>
          <t>進價:  8,500
大修：29,000</t>
        </r>
      </text>
    </comment>
    <comment ref="G16" authorId="0" shapeId="0" xr:uid="{00000000-0006-0000-0400-000009000000}">
      <text>
        <r>
          <rPr>
            <b/>
            <sz val="9"/>
            <color indexed="81"/>
            <rFont val="細明體"/>
            <family val="3"/>
            <charset val="136"/>
          </rPr>
          <t>進價:  8,500
大修：29,000</t>
        </r>
      </text>
    </comment>
    <comment ref="L18" authorId="3" shapeId="0" xr:uid="{00000000-0006-0000-0400-00000A000000}">
      <text>
        <r>
          <rPr>
            <sz val="12"/>
            <color indexed="12"/>
            <rFont val="微軟正黑體"/>
            <family val="2"/>
            <charset val="136"/>
          </rPr>
          <t xml:space="preserve"> 原3.7M改
貨櫃6M
</t>
        </r>
      </text>
    </comment>
    <comment ref="J19" authorId="0" shapeId="0" xr:uid="{00000000-0006-0000-0400-00000B000000}">
      <text>
        <r>
          <rPr>
            <b/>
            <sz val="12"/>
            <color indexed="81"/>
            <rFont val="Tahoma"/>
            <family val="2"/>
          </rPr>
          <t>106.05.19</t>
        </r>
        <r>
          <rPr>
            <b/>
            <sz val="12"/>
            <color indexed="81"/>
            <rFont val="細明體"/>
            <family val="3"/>
            <charset val="136"/>
          </rPr>
          <t>換新電瓶$123,000</t>
        </r>
        <r>
          <rPr>
            <b/>
            <sz val="12"/>
            <color indexed="81"/>
            <rFont val="Tahoma"/>
            <family val="2"/>
          </rPr>
          <t xml:space="preserve">
107.05.14</t>
        </r>
        <r>
          <rPr>
            <b/>
            <sz val="12"/>
            <color indexed="81"/>
            <rFont val="細明體"/>
            <family val="3"/>
            <charset val="136"/>
          </rPr>
          <t>荷蘭商退租
107.12.28芳德退租
108.04.09出車~~換no.71回來
108.05.15拖回
109.01.30去慶豐富彰濱廠，拖NO.222去大慶</t>
        </r>
      </text>
    </comment>
    <comment ref="J20" authorId="0" shapeId="0" xr:uid="{00000000-0006-0000-0400-00000C000000}">
      <text>
        <r>
          <rPr>
            <b/>
            <sz val="10"/>
            <color indexed="81"/>
            <rFont val="Tahoma"/>
            <family val="2"/>
          </rPr>
          <t>104/09/25</t>
        </r>
        <r>
          <rPr>
            <b/>
            <sz val="10"/>
            <color indexed="81"/>
            <rFont val="細明體"/>
            <family val="3"/>
            <charset val="136"/>
          </rPr>
          <t>阿貴后里載回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※統整後，沒在慶豐富，日期壓在</t>
        </r>
        <r>
          <rPr>
            <b/>
            <sz val="12"/>
            <color indexed="81"/>
            <rFont val="Tahoma"/>
            <family val="2"/>
          </rPr>
          <t>NO.89</t>
        </r>
      </text>
    </comment>
    <comment ref="H21" authorId="0" shapeId="0" xr:uid="{00000000-0006-0000-0400-00000D000000}">
      <text>
        <r>
          <rPr>
            <b/>
            <sz val="10"/>
            <color indexed="81"/>
            <rFont val="細明體"/>
            <family val="3"/>
            <charset val="136"/>
          </rPr>
          <t>潔安退租</t>
        </r>
        <r>
          <rPr>
            <b/>
            <sz val="10"/>
            <color indexed="81"/>
            <rFont val="Tahoma"/>
            <family val="2"/>
          </rPr>
          <t>-</t>
        </r>
        <r>
          <rPr>
            <b/>
            <sz val="10"/>
            <color indexed="81"/>
            <rFont val="細明體"/>
            <family val="3"/>
            <charset val="136"/>
          </rPr>
          <t>一期3樓</t>
        </r>
        <r>
          <rPr>
            <b/>
            <sz val="10"/>
            <color indexed="81"/>
            <rFont val="Tahoma"/>
            <family val="2"/>
          </rPr>
          <t>110.10/15</t>
        </r>
        <r>
          <rPr>
            <b/>
            <sz val="10"/>
            <color indexed="81"/>
            <rFont val="細明體"/>
            <family val="3"/>
            <charset val="136"/>
          </rPr>
          <t>取回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 xr:uid="{00000000-0006-0000-0400-00000E000000}">
      <text>
        <r>
          <rPr>
            <b/>
            <sz val="10"/>
            <color indexed="81"/>
            <rFont val="細明體"/>
            <family val="3"/>
            <charset val="136"/>
          </rPr>
          <t>貿鴻不租，110.7/7拖回
穩博8/1起租3個月
9/23退回不租</t>
        </r>
      </text>
    </comment>
    <comment ref="E23" authorId="0" shapeId="0" xr:uid="{00000000-0006-0000-0400-00000F000000}">
      <text>
        <r>
          <rPr>
            <b/>
            <sz val="12"/>
            <color indexed="81"/>
            <rFont val="Tahoma"/>
            <family val="2"/>
          </rPr>
          <t>18*7-8*2
6.00-9*4</t>
        </r>
      </text>
    </comment>
    <comment ref="J23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106.08.01</t>
        </r>
        <r>
          <rPr>
            <b/>
            <sz val="9"/>
            <color indexed="81"/>
            <rFont val="細明體"/>
            <family val="3"/>
            <charset val="136"/>
          </rPr>
          <t xml:space="preserve">原在樹林自行吊去林口
106.11.13林口到土城
107.02.27從土城拖回，拖no.143過去
107.03.03拖去土城，取NO.143回來
108.04.10從大豐土城拖回，換59過去
108.05.28下午阿顏拖去土城
108.06.12土城拖回
109.7月從慶豐富拖回~~換NO.321過去
</t>
        </r>
      </text>
    </comment>
    <comment ref="H24" authorId="0" shapeId="0" xr:uid="{00000000-0006-0000-0400-000011000000}">
      <text>
        <r>
          <rPr>
            <b/>
            <sz val="12"/>
            <color indexed="81"/>
            <rFont val="Tahoma"/>
            <family val="2"/>
          </rPr>
          <t>113.6/24</t>
        </r>
        <r>
          <rPr>
            <b/>
            <sz val="12"/>
            <color indexed="81"/>
            <rFont val="細明體"/>
            <family val="3"/>
            <charset val="136"/>
          </rPr>
          <t>成龍取回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L25" authorId="3" shapeId="0" xr:uid="{00000000-0006-0000-0400-000012000000}">
      <text>
        <r>
          <rPr>
            <sz val="12"/>
            <color indexed="12"/>
            <rFont val="微軟正黑體"/>
            <family val="2"/>
            <charset val="136"/>
          </rPr>
          <t xml:space="preserve">購入揚高4.3M
和銘崙電機更換
</t>
        </r>
      </text>
    </comment>
    <comment ref="J27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105.06.15</t>
        </r>
        <r>
          <rPr>
            <b/>
            <sz val="9"/>
            <color indexed="81"/>
            <rFont val="細明體"/>
            <family val="3"/>
            <charset val="136"/>
          </rPr>
          <t>成龍退租
107.08.22慶豐富承租更換全新電瓶
110.12.04永翔興取回</t>
        </r>
      </text>
    </comment>
    <comment ref="F29" authorId="0" shapeId="0" xr:uid="{00000000-0006-0000-0400-000014000000}">
      <text>
        <r>
          <rPr>
            <b/>
            <sz val="11"/>
            <color indexed="81"/>
            <rFont val="Tahoma"/>
            <family val="2"/>
          </rPr>
          <t>112.01.18</t>
        </r>
        <r>
          <rPr>
            <b/>
            <sz val="11"/>
            <color indexed="81"/>
            <rFont val="細明體"/>
            <family val="3"/>
            <charset val="136"/>
          </rPr>
          <t>出售辰光</t>
        </r>
        <r>
          <rPr>
            <b/>
            <sz val="11"/>
            <color indexed="81"/>
            <rFont val="Tahoma"/>
            <family val="2"/>
          </rPr>
          <t xml:space="preserve">
112.06.20</t>
        </r>
        <r>
          <rPr>
            <b/>
            <sz val="11"/>
            <color indexed="81"/>
            <rFont val="細明體"/>
            <family val="3"/>
            <charset val="136"/>
          </rPr>
          <t>估回</t>
        </r>
      </text>
    </comment>
    <comment ref="J31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104.11.21</t>
        </r>
        <r>
          <rPr>
            <b/>
            <sz val="9"/>
            <color indexed="81"/>
            <rFont val="細明體"/>
            <family val="3"/>
            <charset val="136"/>
          </rPr>
          <t>出貨換車
104.11.23吊回</t>
        </r>
      </text>
    </comment>
    <comment ref="H32" authorId="0" shapeId="0" xr:uid="{00000000-0006-0000-0400-000016000000}">
      <text>
        <r>
          <rPr>
            <b/>
            <sz val="10"/>
            <color indexed="81"/>
            <rFont val="細明體"/>
            <family val="3"/>
            <charset val="136"/>
          </rPr>
          <t>潔安退租</t>
        </r>
        <r>
          <rPr>
            <b/>
            <sz val="10"/>
            <color indexed="81"/>
            <rFont val="Tahoma"/>
            <family val="2"/>
          </rPr>
          <t>-</t>
        </r>
        <r>
          <rPr>
            <b/>
            <sz val="10"/>
            <color indexed="81"/>
            <rFont val="細明體"/>
            <family val="3"/>
            <charset val="136"/>
          </rPr>
          <t>一期</t>
        </r>
        <r>
          <rPr>
            <b/>
            <sz val="10"/>
            <color indexed="81"/>
            <rFont val="Tahoma"/>
            <family val="2"/>
          </rPr>
          <t>110.10/15</t>
        </r>
        <r>
          <rPr>
            <b/>
            <sz val="10"/>
            <color indexed="81"/>
            <rFont val="細明體"/>
            <family val="3"/>
            <charset val="136"/>
          </rPr>
          <t>取回</t>
        </r>
      </text>
    </comment>
    <comment ref="H33" authorId="0" shapeId="0" xr:uid="{00000000-0006-0000-0400-000017000000}">
      <text>
        <r>
          <rPr>
            <b/>
            <sz val="11"/>
            <color indexed="81"/>
            <rFont val="Tahoma"/>
            <family val="2"/>
          </rPr>
          <t>106.02.08</t>
        </r>
        <r>
          <rPr>
            <b/>
            <sz val="11"/>
            <color indexed="81"/>
            <rFont val="細明體"/>
            <family val="3"/>
            <charset val="136"/>
          </rPr>
          <t>出貨</t>
        </r>
        <r>
          <rPr>
            <b/>
            <sz val="11"/>
            <color indexed="81"/>
            <rFont val="Tahoma"/>
            <family val="2"/>
          </rPr>
          <t xml:space="preserve">
111.7/11</t>
        </r>
        <r>
          <rPr>
            <b/>
            <sz val="11"/>
            <color indexed="81"/>
            <rFont val="細明體"/>
            <family val="3"/>
            <charset val="136"/>
          </rPr>
          <t>取回</t>
        </r>
      </text>
    </comment>
    <comment ref="J34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107.12.11</t>
        </r>
        <r>
          <rPr>
            <b/>
            <sz val="9"/>
            <color indexed="81"/>
            <rFont val="細明體"/>
            <family val="3"/>
            <charset val="136"/>
          </rPr>
          <t>從慶豐富取回，換</t>
        </r>
        <r>
          <rPr>
            <b/>
            <sz val="9"/>
            <color indexed="81"/>
            <rFont val="Tahoma"/>
            <family val="2"/>
          </rPr>
          <t>NO.226</t>
        </r>
        <r>
          <rPr>
            <b/>
            <sz val="9"/>
            <color indexed="81"/>
            <rFont val="細明體"/>
            <family val="3"/>
            <charset val="136"/>
          </rPr>
          <t>過去</t>
        </r>
      </text>
    </comment>
    <comment ref="J35" authorId="0" shapeId="0" xr:uid="{00000000-0006-0000-0400-000019000000}">
      <text>
        <r>
          <rPr>
            <b/>
            <sz val="12"/>
            <color indexed="81"/>
            <rFont val="Tahoma"/>
            <family val="2"/>
          </rPr>
          <t>103.7.29</t>
        </r>
        <r>
          <rPr>
            <b/>
            <sz val="12"/>
            <color indexed="81"/>
            <rFont val="細明體"/>
            <family val="3"/>
            <charset val="136"/>
          </rPr>
          <t>換</t>
        </r>
        <r>
          <rPr>
            <b/>
            <sz val="12"/>
            <color indexed="81"/>
            <rFont val="Tahoma"/>
            <family val="2"/>
          </rPr>
          <t xml:space="preserve">   NO.20</t>
        </r>
        <r>
          <rPr>
            <b/>
            <sz val="12"/>
            <color indexed="81"/>
            <rFont val="細明體"/>
            <family val="3"/>
            <charset val="136"/>
          </rPr>
          <t>換</t>
        </r>
        <r>
          <rPr>
            <b/>
            <sz val="12"/>
            <color indexed="81"/>
            <rFont val="Tahoma"/>
            <family val="2"/>
          </rPr>
          <t>NO.112</t>
        </r>
        <r>
          <rPr>
            <sz val="12"/>
            <color indexed="81"/>
            <rFont val="Tahoma"/>
            <family val="2"/>
          </rPr>
          <t xml:space="preserve">
105.06.15</t>
        </r>
        <r>
          <rPr>
            <sz val="12"/>
            <color indexed="81"/>
            <rFont val="細明體"/>
            <family val="3"/>
            <charset val="136"/>
          </rPr>
          <t>成龍退租</t>
        </r>
      </text>
    </comment>
    <comment ref="H38" authorId="0" shapeId="0" xr:uid="{00000000-0006-0000-0400-00001A000000}">
      <text>
        <r>
          <rPr>
            <b/>
            <sz val="11"/>
            <color indexed="81"/>
            <rFont val="細明體"/>
            <family val="3"/>
            <charset val="136"/>
          </rPr>
          <t>潔安退租-后里七星</t>
        </r>
        <r>
          <rPr>
            <b/>
            <sz val="11"/>
            <color indexed="81"/>
            <rFont val="Tahoma"/>
            <family val="2"/>
          </rPr>
          <t>110.10/15</t>
        </r>
        <r>
          <rPr>
            <b/>
            <sz val="11"/>
            <color indexed="81"/>
            <rFont val="細明體"/>
            <family val="3"/>
            <charset val="136"/>
          </rPr>
          <t>取回112/5/4-12/18黃茂洲寄賣取回
12/19兆豐12/21回
113.01.31劦豐旺換此車</t>
        </r>
      </text>
    </comment>
    <comment ref="H39" authorId="0" shapeId="0" xr:uid="{00000000-0006-0000-0400-00001B000000}">
      <text>
        <r>
          <rPr>
            <b/>
            <sz val="10"/>
            <color indexed="81"/>
            <rFont val="細明體"/>
            <family val="3"/>
            <charset val="136"/>
          </rPr>
          <t>潔安退租</t>
        </r>
        <r>
          <rPr>
            <b/>
            <sz val="10"/>
            <color indexed="81"/>
            <rFont val="Tahoma"/>
            <family val="2"/>
          </rPr>
          <t>-</t>
        </r>
        <r>
          <rPr>
            <b/>
            <sz val="10"/>
            <color indexed="81"/>
            <rFont val="細明體"/>
            <family val="3"/>
            <charset val="136"/>
          </rPr>
          <t xml:space="preserve">中科一期
</t>
        </r>
        <r>
          <rPr>
            <b/>
            <sz val="10"/>
            <color indexed="81"/>
            <rFont val="Tahoma"/>
            <family val="2"/>
          </rPr>
          <t>110.10/15</t>
        </r>
        <r>
          <rPr>
            <b/>
            <sz val="10"/>
            <color indexed="81"/>
            <rFont val="細明體"/>
            <family val="3"/>
            <charset val="136"/>
          </rPr>
          <t>取回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0" authorId="0" shapeId="0" xr:uid="{00000000-0006-0000-0400-00001C000000}">
      <text>
        <r>
          <rPr>
            <b/>
            <sz val="10"/>
            <color indexed="81"/>
            <rFont val="細明體"/>
            <family val="3"/>
            <charset val="136"/>
          </rPr>
          <t>潔安退租</t>
        </r>
        <r>
          <rPr>
            <b/>
            <sz val="10"/>
            <color indexed="81"/>
            <rFont val="Tahoma"/>
            <family val="2"/>
          </rPr>
          <t>-</t>
        </r>
        <r>
          <rPr>
            <b/>
            <sz val="10"/>
            <color indexed="81"/>
            <rFont val="細明體"/>
            <family val="3"/>
            <charset val="136"/>
          </rPr>
          <t xml:space="preserve">中科包裁
</t>
        </r>
        <r>
          <rPr>
            <b/>
            <sz val="10"/>
            <color indexed="81"/>
            <rFont val="Tahoma"/>
            <family val="2"/>
          </rPr>
          <t>110.10/15</t>
        </r>
        <r>
          <rPr>
            <b/>
            <sz val="10"/>
            <color indexed="81"/>
            <rFont val="細明體"/>
            <family val="3"/>
            <charset val="136"/>
          </rPr>
          <t>取回</t>
        </r>
      </text>
    </comment>
    <comment ref="J42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106.05.31</t>
        </r>
        <r>
          <rPr>
            <b/>
            <sz val="9"/>
            <color indexed="81"/>
            <rFont val="細明體"/>
            <family val="3"/>
            <charset val="136"/>
          </rPr>
          <t xml:space="preserve">退租
</t>
        </r>
      </text>
    </comment>
    <comment ref="E44" authorId="0" shapeId="0" xr:uid="{00000000-0006-0000-0400-00001E000000}">
      <text>
        <r>
          <rPr>
            <b/>
            <sz val="18"/>
            <color indexed="81"/>
            <rFont val="Tahoma"/>
            <family val="2"/>
          </rPr>
          <t>TD04023B</t>
        </r>
      </text>
    </comment>
    <comment ref="E45" authorId="0" shapeId="0" xr:uid="{00000000-0006-0000-0400-00001F000000}">
      <text>
        <r>
          <rPr>
            <b/>
            <sz val="18"/>
            <color indexed="81"/>
            <rFont val="Tahoma"/>
            <family val="2"/>
          </rPr>
          <t>TD04023B</t>
        </r>
      </text>
    </comment>
    <comment ref="H45" authorId="0" shapeId="0" xr:uid="{00000000-0006-0000-0400-000020000000}">
      <text>
        <r>
          <rPr>
            <b/>
            <sz val="10"/>
            <color indexed="81"/>
            <rFont val="細明體"/>
            <family val="3"/>
            <charset val="136"/>
          </rPr>
          <t>潔安退租-中科三期110.10/15取回</t>
        </r>
      </text>
    </comment>
    <comment ref="J47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106.07.24</t>
        </r>
        <r>
          <rPr>
            <b/>
            <sz val="9"/>
            <color indexed="81"/>
            <rFont val="細明體"/>
            <family val="3"/>
            <charset val="136"/>
          </rPr>
          <t xml:space="preserve">從進裕拖回
</t>
        </r>
      </text>
    </comment>
    <comment ref="J51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106.11.02</t>
        </r>
        <r>
          <rPr>
            <b/>
            <sz val="9"/>
            <color indexed="81"/>
            <rFont val="細明體"/>
            <family val="3"/>
            <charset val="136"/>
          </rPr>
          <t>從春日吊去嘉義
107.03.30拖去大欣全興
107.12.20從大欣全興拖回~不租</t>
        </r>
      </text>
    </comment>
    <comment ref="J52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106.08.23</t>
        </r>
        <r>
          <rPr>
            <b/>
            <sz val="9"/>
            <color indexed="81"/>
            <rFont val="細明體"/>
            <family val="3"/>
            <charset val="136"/>
          </rPr>
          <t>小曾拖回，換246過去
106.09.25拖去林口，拖回71
107.03.03租賃地點換成春日站
107.03.05從林口拖回
107.04.03出車道大欣全興(新承租)
107.12.12從大欣全興拖回~不租</t>
        </r>
      </text>
    </comment>
    <comment ref="H53" authorId="0" shapeId="0" xr:uid="{00000000-0006-0000-0400-000024000000}">
      <text>
        <r>
          <rPr>
            <b/>
            <sz val="10"/>
            <color indexed="81"/>
            <rFont val="細明體"/>
            <family val="3"/>
            <charset val="136"/>
          </rPr>
          <t>潔安退租</t>
        </r>
        <r>
          <rPr>
            <b/>
            <sz val="10"/>
            <color indexed="81"/>
            <rFont val="Tahoma"/>
            <family val="2"/>
          </rPr>
          <t>110.10/15</t>
        </r>
        <r>
          <rPr>
            <b/>
            <sz val="10"/>
            <color indexed="81"/>
            <rFont val="細明體"/>
            <family val="3"/>
            <charset val="136"/>
          </rPr>
          <t>取回</t>
        </r>
      </text>
    </comment>
    <comment ref="J54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106.09.25</t>
        </r>
        <r>
          <rPr>
            <b/>
            <sz val="9"/>
            <color indexed="81"/>
            <rFont val="細明體"/>
            <family val="3"/>
            <charset val="136"/>
          </rPr>
          <t>清煬拖回，換213過去
106.11.13到林口
107.03.02從林口拖回，不續租
107.05.07大欣承租
108.04.12大欣拖回</t>
        </r>
      </text>
    </comment>
    <comment ref="J56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106.06.17</t>
        </r>
        <r>
          <rPr>
            <b/>
            <sz val="9"/>
            <color indexed="81"/>
            <rFont val="細明體"/>
            <family val="3"/>
            <charset val="136"/>
          </rPr>
          <t>大詠城退回
108.05.27拖回大豐沙鹿使用
110.5/19拖回</t>
        </r>
      </text>
    </comment>
    <comment ref="J58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108.04.18</t>
        </r>
        <r>
          <rPr>
            <b/>
            <sz val="9"/>
            <color indexed="81"/>
            <rFont val="細明體"/>
            <family val="3"/>
            <charset val="136"/>
          </rPr>
          <t>昇葆拖回</t>
        </r>
      </text>
    </comment>
    <comment ref="M58" authorId="0" shapeId="0" xr:uid="{00000000-0006-0000-0400-000028000000}">
      <text>
        <r>
          <rPr>
            <b/>
            <sz val="11"/>
            <color indexed="81"/>
            <rFont val="Tahoma"/>
            <family val="2"/>
          </rPr>
          <t>700-12(</t>
        </r>
        <r>
          <rPr>
            <b/>
            <sz val="11"/>
            <color indexed="81"/>
            <rFont val="細明體"/>
            <family val="3"/>
            <charset val="136"/>
          </rPr>
          <t>後輪</t>
        </r>
        <r>
          <rPr>
            <b/>
            <sz val="11"/>
            <color indexed="81"/>
            <rFont val="Tahoma"/>
            <family val="2"/>
          </rPr>
          <t>)
815-15(</t>
        </r>
        <r>
          <rPr>
            <b/>
            <sz val="11"/>
            <color indexed="81"/>
            <rFont val="細明體"/>
            <family val="3"/>
            <charset val="136"/>
          </rPr>
          <t>前輪</t>
        </r>
        <r>
          <rPr>
            <b/>
            <sz val="11"/>
            <color indexed="81"/>
            <rFont val="Tahoma"/>
            <family val="2"/>
          </rPr>
          <t>)-</t>
        </r>
        <r>
          <rPr>
            <b/>
            <sz val="11"/>
            <color indexed="81"/>
            <rFont val="細明體"/>
            <family val="3"/>
            <charset val="136"/>
          </rPr>
          <t>前四輪
107.05.03換成單輪</t>
        </r>
      </text>
    </comment>
    <comment ref="H59" authorId="0" shapeId="0" xr:uid="{00000000-0006-0000-0400-000029000000}">
      <text>
        <r>
          <rPr>
            <b/>
            <sz val="10"/>
            <color indexed="81"/>
            <rFont val="細明體"/>
            <family val="3"/>
            <charset val="136"/>
          </rPr>
          <t>借大詠城：</t>
        </r>
        <r>
          <rPr>
            <b/>
            <sz val="10"/>
            <color indexed="81"/>
            <rFont val="Tahoma"/>
            <family val="2"/>
          </rPr>
          <t>111.3/24</t>
        </r>
        <r>
          <rPr>
            <b/>
            <sz val="10"/>
            <color indexed="81"/>
            <rFont val="細明體"/>
            <family val="3"/>
            <charset val="136"/>
          </rPr>
          <t>借.5/10取回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J59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106.11.18</t>
        </r>
        <r>
          <rPr>
            <b/>
            <sz val="9"/>
            <color indexed="81"/>
            <rFont val="細明體"/>
            <family val="3"/>
            <charset val="136"/>
          </rPr>
          <t>昇葆拖回，台北堆高機維修說，油壓泵浦確定壞，方向盤不能轉，引擎有很大的異聲，也快陣亡了，建議拖回維修，換</t>
        </r>
        <r>
          <rPr>
            <b/>
            <sz val="9"/>
            <color indexed="81"/>
            <rFont val="Tahoma"/>
            <family val="2"/>
          </rPr>
          <t>NO.249</t>
        </r>
        <r>
          <rPr>
            <b/>
            <sz val="9"/>
            <color indexed="81"/>
            <rFont val="細明體"/>
            <family val="3"/>
            <charset val="136"/>
          </rPr>
          <t>過去
106.12.29拖去大欣嘉義，換NO.204回來
107.01.30從嘉義拖回，換no.204過去
107.10.03從昇葆內湖拖回~~不租</t>
        </r>
      </text>
    </comment>
    <comment ref="H60" authorId="0" shapeId="0" xr:uid="{00000000-0006-0000-0400-00002B000000}">
      <text>
        <r>
          <rPr>
            <b/>
            <sz val="10"/>
            <color indexed="81"/>
            <rFont val="細明體"/>
            <family val="3"/>
            <charset val="136"/>
          </rPr>
          <t>明順不租.</t>
        </r>
        <r>
          <rPr>
            <b/>
            <sz val="10"/>
            <color indexed="81"/>
            <rFont val="Tahoma"/>
            <family val="2"/>
          </rPr>
          <t>111.3/31</t>
        </r>
        <r>
          <rPr>
            <b/>
            <sz val="10"/>
            <color indexed="81"/>
            <rFont val="細明體"/>
            <family val="3"/>
            <charset val="136"/>
          </rPr>
          <t>取回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J60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106.08.23</t>
        </r>
        <r>
          <rPr>
            <b/>
            <sz val="9"/>
            <color indexed="81"/>
            <rFont val="細明體"/>
            <family val="3"/>
            <charset val="136"/>
          </rPr>
          <t>拖去小曾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拖回</t>
        </r>
        <r>
          <rPr>
            <b/>
            <sz val="9"/>
            <color indexed="81"/>
            <rFont val="Tahoma"/>
            <family val="2"/>
          </rPr>
          <t>206
106.11.16</t>
        </r>
        <r>
          <rPr>
            <b/>
            <sz val="9"/>
            <color indexed="81"/>
            <rFont val="細明體"/>
            <family val="3"/>
            <charset val="136"/>
          </rPr>
          <t>從小曾拖回~~不租
107.03.07拖去大豐春日站
109.05.04大豐北倉退租</t>
        </r>
      </text>
    </comment>
    <comment ref="H61" authorId="1" shapeId="0" xr:uid="{00000000-0006-0000-0400-00002D000000}">
      <text>
        <r>
          <rPr>
            <b/>
            <sz val="12"/>
            <color indexed="81"/>
            <rFont val="Tahoma"/>
            <family val="2"/>
          </rPr>
          <t>106.10.26</t>
        </r>
        <r>
          <rPr>
            <b/>
            <sz val="12"/>
            <color indexed="81"/>
            <rFont val="細明體"/>
            <family val="3"/>
            <charset val="136"/>
          </rPr>
          <t xml:space="preserve">售赫莉亞17萬
</t>
        </r>
        <r>
          <rPr>
            <b/>
            <sz val="12"/>
            <color indexed="81"/>
            <rFont val="Tahoma"/>
            <family val="2"/>
          </rPr>
          <t>114.10.03</t>
        </r>
        <r>
          <rPr>
            <b/>
            <sz val="12"/>
            <color indexed="81"/>
            <rFont val="細明體"/>
            <family val="3"/>
            <charset val="136"/>
          </rPr>
          <t>從赫莉亞3萬估回</t>
        </r>
      </text>
    </comment>
    <comment ref="L61" authorId="0" shapeId="0" xr:uid="{00000000-0006-0000-0400-00002E000000}">
      <text>
        <r>
          <rPr>
            <b/>
            <sz val="9"/>
            <color indexed="81"/>
            <rFont val="細明體"/>
            <family val="3"/>
            <charset val="136"/>
          </rPr>
          <t xml:space="preserve">原車3500MM
</t>
        </r>
      </text>
    </comment>
    <comment ref="H66" authorId="0" shapeId="0" xr:uid="{00000000-0006-0000-0400-00002F000000}">
      <text>
        <r>
          <rPr>
            <b/>
            <sz val="10"/>
            <color indexed="81"/>
            <rFont val="細明體"/>
            <family val="3"/>
            <charset val="136"/>
          </rPr>
          <t>潔安退租</t>
        </r>
        <r>
          <rPr>
            <b/>
            <sz val="10"/>
            <color indexed="81"/>
            <rFont val="Tahoma"/>
            <family val="2"/>
          </rPr>
          <t>-</t>
        </r>
        <r>
          <rPr>
            <b/>
            <sz val="10"/>
            <color indexed="81"/>
            <rFont val="細明體"/>
            <family val="3"/>
            <charset val="136"/>
          </rPr>
          <t xml:space="preserve">一期碼頭
</t>
        </r>
        <r>
          <rPr>
            <b/>
            <sz val="10"/>
            <color indexed="81"/>
            <rFont val="Tahoma"/>
            <family val="2"/>
          </rPr>
          <t>110.10/15</t>
        </r>
        <r>
          <rPr>
            <b/>
            <sz val="10"/>
            <color indexed="81"/>
            <rFont val="細明體"/>
            <family val="3"/>
            <charset val="136"/>
          </rPr>
          <t>取回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J68" authorId="0" shapeId="0" xr:uid="{00000000-0006-0000-0400-000030000000}">
      <text>
        <r>
          <rPr>
            <b/>
            <sz val="9"/>
            <color indexed="81"/>
            <rFont val="細明體"/>
            <family val="3"/>
            <charset val="136"/>
          </rPr>
          <t xml:space="preserve">107.09.03拖去慶豐富，拖回NO.156
</t>
        </r>
      </text>
    </comment>
    <comment ref="J69" authorId="0" shapeId="0" xr:uid="{00000000-0006-0000-0400-000031000000}">
      <text>
        <r>
          <rPr>
            <b/>
            <sz val="12"/>
            <color indexed="81"/>
            <rFont val="細明體"/>
            <family val="3"/>
            <charset val="136"/>
          </rPr>
          <t>合美健試用，已取回</t>
        </r>
      </text>
    </comment>
    <comment ref="E70" authorId="0" shapeId="0" xr:uid="{00000000-0006-0000-0400-000032000000}">
      <text>
        <r>
          <rPr>
            <b/>
            <sz val="12"/>
            <color indexed="81"/>
            <rFont val="細明體"/>
            <family val="3"/>
            <charset val="136"/>
          </rPr>
          <t>換牌</t>
        </r>
        <r>
          <rPr>
            <b/>
            <sz val="12"/>
            <color indexed="81"/>
            <rFont val="Tahoma"/>
            <family val="2"/>
          </rPr>
          <t xml:space="preserve">
5FBR15-12362</t>
        </r>
      </text>
    </comment>
    <comment ref="L70" authorId="0" shapeId="0" xr:uid="{00000000-0006-0000-0400-000033000000}">
      <text>
        <r>
          <rPr>
            <b/>
            <sz val="10"/>
            <color indexed="81"/>
            <rFont val="細明體"/>
            <family val="3"/>
            <charset val="136"/>
          </rPr>
          <t>原</t>
        </r>
        <r>
          <rPr>
            <b/>
            <sz val="10"/>
            <color indexed="81"/>
            <rFont val="Tahoma"/>
            <family val="2"/>
          </rPr>
          <t>3.7M</t>
        </r>
        <r>
          <rPr>
            <b/>
            <sz val="10"/>
            <color indexed="81"/>
            <rFont val="細明體"/>
            <family val="3"/>
            <charset val="136"/>
          </rPr>
          <t>改貨櫃</t>
        </r>
        <r>
          <rPr>
            <b/>
            <sz val="10"/>
            <color indexed="81"/>
            <rFont val="Tahoma"/>
            <family val="2"/>
          </rPr>
          <t>6M</t>
        </r>
      </text>
    </comment>
    <comment ref="J71" authorId="0" shapeId="0" xr:uid="{00000000-0006-0000-0400-000034000000}">
      <text>
        <r>
          <rPr>
            <b/>
            <sz val="12"/>
            <color indexed="81"/>
            <rFont val="細明體"/>
            <family val="3"/>
            <charset val="136"/>
          </rPr>
          <t xml:space="preserve">新信利借用
</t>
        </r>
      </text>
    </comment>
    <comment ref="H75" authorId="0" shapeId="0" xr:uid="{00000000-0006-0000-0400-000035000000}">
      <text>
        <r>
          <rPr>
            <sz val="11"/>
            <color indexed="81"/>
            <rFont val="細明體"/>
            <family val="3"/>
            <charset val="136"/>
          </rPr>
          <t>業碩借用至110.10.07取回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8" authorId="0" shapeId="0" xr:uid="{00000000-0006-0000-0400-000036000000}">
      <text>
        <r>
          <rPr>
            <b/>
            <sz val="12"/>
            <color indexed="81"/>
            <rFont val="Tahoma"/>
            <family val="2"/>
          </rPr>
          <t xml:space="preserve">109.05 </t>
        </r>
        <r>
          <rPr>
            <b/>
            <sz val="12"/>
            <color indexed="81"/>
            <rFont val="細明體"/>
            <family val="3"/>
            <charset val="136"/>
          </rPr>
          <t>慶豐富借用
~慶豐富持需使用不歸還~
109.07.01起算租金</t>
        </r>
      </text>
    </comment>
    <comment ref="J81" authorId="0" shapeId="0" xr:uid="{00000000-0006-0000-0400-000037000000}">
      <text>
        <r>
          <rPr>
            <b/>
            <sz val="12"/>
            <color indexed="81"/>
            <rFont val="細明體"/>
            <family val="3"/>
            <charset val="136"/>
          </rPr>
          <t>與</t>
        </r>
        <r>
          <rPr>
            <b/>
            <sz val="12"/>
            <color indexed="81"/>
            <rFont val="Tahoma"/>
            <family val="2"/>
          </rPr>
          <t>no.144</t>
        </r>
        <r>
          <rPr>
            <b/>
            <sz val="12"/>
            <color indexed="81"/>
            <rFont val="細明體"/>
            <family val="3"/>
            <charset val="136"/>
          </rPr>
          <t>換車</t>
        </r>
      </text>
    </comment>
    <comment ref="E82" authorId="0" shapeId="0" xr:uid="{00000000-0006-0000-0400-000038000000}">
      <text>
        <r>
          <rPr>
            <b/>
            <sz val="12"/>
            <color indexed="81"/>
            <rFont val="細明體"/>
            <family val="3"/>
            <charset val="136"/>
          </rPr>
          <t>換牌
2RFBA12-10162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84" authorId="0" shapeId="0" xr:uid="{00000000-0006-0000-0400-000039000000}">
      <text>
        <r>
          <rPr>
            <b/>
            <sz val="12"/>
            <color indexed="81"/>
            <rFont val="細明體"/>
            <family val="3"/>
            <charset val="136"/>
          </rPr>
          <t>大益當鋪取回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H98" authorId="0" shapeId="0" xr:uid="{00000000-0006-0000-0400-00003A000000}">
      <text>
        <r>
          <rPr>
            <sz val="12"/>
            <color indexed="81"/>
            <rFont val="Tahoma"/>
            <family val="2"/>
          </rPr>
          <t>113.5/29</t>
        </r>
        <r>
          <rPr>
            <sz val="12"/>
            <color indexed="81"/>
            <rFont val="細明體"/>
            <family val="3"/>
            <charset val="136"/>
          </rPr>
          <t>售華田114.02取回換車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H100" authorId="0" shapeId="0" xr:uid="{00000000-0006-0000-0400-00003B000000}">
      <text>
        <r>
          <rPr>
            <b/>
            <sz val="12"/>
            <color indexed="81"/>
            <rFont val="Tahoma"/>
            <family val="2"/>
          </rPr>
          <t>114.01.14</t>
        </r>
        <r>
          <rPr>
            <b/>
            <sz val="12"/>
            <color indexed="81"/>
            <rFont val="細明體"/>
            <family val="3"/>
            <charset val="136"/>
          </rPr>
          <t>取回換NO.511</t>
        </r>
      </text>
    </comment>
    <comment ref="L100" authorId="0" shapeId="0" xr:uid="{00000000-0006-0000-0400-00003C000000}">
      <text>
        <r>
          <rPr>
            <sz val="12"/>
            <color indexed="81"/>
            <rFont val="細明體"/>
            <family val="3"/>
            <charset val="136"/>
          </rPr>
          <t>原4500，改拱6900
114.1/13又與NO.511換車，拱對調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H111" authorId="1" shapeId="0" xr:uid="{00000000-0006-0000-0400-00003D000000}">
      <text>
        <r>
          <rPr>
            <b/>
            <sz val="12"/>
            <color indexed="81"/>
            <rFont val="Tahoma"/>
            <family val="2"/>
          </rPr>
          <t>114.04/29</t>
        </r>
        <r>
          <rPr>
            <b/>
            <sz val="12"/>
            <color indexed="81"/>
            <rFont val="細明體"/>
            <family val="3"/>
            <charset val="136"/>
          </rPr>
          <t>辰光換車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H112" authorId="0" shapeId="0" xr:uid="{00000000-0006-0000-0400-00003E000000}">
      <text>
        <r>
          <rPr>
            <b/>
            <sz val="12"/>
            <color indexed="81"/>
            <rFont val="Tahoma"/>
            <family val="2"/>
          </rPr>
          <t>111.09.06</t>
        </r>
        <r>
          <rPr>
            <b/>
            <sz val="12"/>
            <color indexed="81"/>
            <rFont val="細明體"/>
            <family val="3"/>
            <charset val="136"/>
          </rPr>
          <t>起租</t>
        </r>
        <r>
          <rPr>
            <b/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成龍</t>
        </r>
        <r>
          <rPr>
            <b/>
            <sz val="12"/>
            <color indexed="81"/>
            <rFont val="Tahoma"/>
            <family val="2"/>
          </rPr>
          <t>114.03.27</t>
        </r>
        <r>
          <rPr>
            <b/>
            <sz val="12"/>
            <color indexed="81"/>
            <rFont val="細明體"/>
            <family val="3"/>
            <charset val="136"/>
          </rPr>
          <t>取回換NO.498</t>
        </r>
      </text>
    </comment>
    <comment ref="G114" authorId="0" shapeId="0" xr:uid="{00000000-0006-0000-0400-00003F000000}">
      <text>
        <r>
          <rPr>
            <b/>
            <sz val="11"/>
            <color indexed="81"/>
            <rFont val="細明體"/>
            <family val="3"/>
            <charset val="136"/>
          </rPr>
          <t>賣宏棨一台28萬NO.345估回一台14萬NO.403</t>
        </r>
      </text>
    </comment>
    <comment ref="J114" authorId="0" shapeId="0" xr:uid="{00000000-0006-0000-0400-000040000000}">
      <text>
        <r>
          <rPr>
            <b/>
            <sz val="12"/>
            <color indexed="81"/>
            <rFont val="Tahoma"/>
            <family val="2"/>
          </rPr>
          <t>112.5/21</t>
        </r>
        <r>
          <rPr>
            <b/>
            <sz val="12"/>
            <color indexed="81"/>
            <rFont val="細明體"/>
            <family val="3"/>
            <charset val="136"/>
          </rPr>
          <t>出貨貳柒
原以20萬購買後改為租賃
114.10.03買NO.515，取回本車</t>
        </r>
      </text>
    </comment>
    <comment ref="H117" authorId="0" shapeId="0" xr:uid="{00000000-0006-0000-0400-000041000000}">
      <text>
        <r>
          <rPr>
            <sz val="12"/>
            <color indexed="81"/>
            <rFont val="細明體"/>
            <family val="3"/>
            <charset val="136"/>
          </rPr>
          <t>樂酷馬</t>
        </r>
        <r>
          <rPr>
            <sz val="12"/>
            <color indexed="81"/>
            <rFont val="Tahoma"/>
            <family val="2"/>
          </rPr>
          <t>112.8/1</t>
        </r>
        <r>
          <rPr>
            <sz val="12"/>
            <color indexed="81"/>
            <rFont val="細明體"/>
            <family val="3"/>
            <charset val="136"/>
          </rPr>
          <t>試用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10/20</t>
        </r>
        <r>
          <rPr>
            <sz val="12"/>
            <color indexed="81"/>
            <rFont val="細明體"/>
            <family val="3"/>
            <charset val="136"/>
          </rPr>
          <t>取回
銀齡換車113.12/7取回</t>
        </r>
      </text>
    </comment>
    <comment ref="H120" authorId="1" shapeId="0" xr:uid="{00000000-0006-0000-0400-000042000000}">
      <text>
        <r>
          <rPr>
            <b/>
            <sz val="12"/>
            <color indexed="81"/>
            <rFont val="細明體"/>
            <family val="3"/>
            <charset val="136"/>
          </rPr>
          <t>富田換車</t>
        </r>
      </text>
    </comment>
    <comment ref="H121" authorId="0" shapeId="0" xr:uid="{00000000-0006-0000-0400-000043000000}">
      <text>
        <r>
          <rPr>
            <b/>
            <sz val="11"/>
            <color indexed="81"/>
            <rFont val="細明體"/>
            <family val="3"/>
            <charset val="136"/>
          </rPr>
          <t>劦豐旺</t>
        </r>
        <r>
          <rPr>
            <b/>
            <sz val="11"/>
            <color indexed="81"/>
            <rFont val="Tahoma"/>
            <family val="2"/>
          </rPr>
          <t>112.11/13</t>
        </r>
        <r>
          <rPr>
            <b/>
            <sz val="11"/>
            <color indexed="81"/>
            <rFont val="細明體"/>
            <family val="3"/>
            <charset val="136"/>
          </rPr>
          <t>換此車
113.01.31退回改NO.123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E122" authorId="0" shapeId="0" xr:uid="{00000000-0006-0000-0400-000044000000}">
      <text>
        <r>
          <rPr>
            <b/>
            <sz val="12"/>
            <color indexed="81"/>
            <rFont val="細明體"/>
            <family val="3"/>
            <charset val="136"/>
          </rPr>
          <t xml:space="preserve">狗牌換成NO.399
</t>
        </r>
        <r>
          <rPr>
            <b/>
            <sz val="12"/>
            <color indexed="81"/>
            <rFont val="Tahoma"/>
            <family val="2"/>
          </rPr>
          <t>7FBR15-20110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27" authorId="0" shapeId="0" xr:uid="{00000000-0006-0000-0400-000045000000}">
      <text>
        <r>
          <rPr>
            <b/>
            <sz val="12"/>
            <color indexed="81"/>
            <rFont val="Tahoma"/>
            <family val="2"/>
          </rPr>
          <t>112.8/9</t>
        </r>
        <r>
          <rPr>
            <b/>
            <sz val="12"/>
            <color indexed="81"/>
            <rFont val="細明體"/>
            <family val="3"/>
            <charset val="136"/>
          </rPr>
          <t>出車
試車中</t>
        </r>
      </text>
    </comment>
    <comment ref="L138" authorId="0" shapeId="0" xr:uid="{00000000-0006-0000-0400-000046000000}">
      <text>
        <r>
          <rPr>
            <sz val="12"/>
            <color indexed="81"/>
            <rFont val="細明體"/>
            <family val="3"/>
            <charset val="136"/>
          </rPr>
          <t>華田113.10/29退回，原拱三截5米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9" authorId="0" shapeId="0" xr:uid="{00000000-0006-0000-0400-000047000000}">
      <text>
        <r>
          <rPr>
            <b/>
            <sz val="12"/>
            <color indexed="81"/>
            <rFont val="細明體"/>
            <family val="3"/>
            <charset val="136"/>
          </rPr>
          <t>新松換車NO.557取回本車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E144" authorId="0" shapeId="0" xr:uid="{00000000-0006-0000-0400-000048000000}">
      <text>
        <r>
          <rPr>
            <b/>
            <sz val="12"/>
            <color indexed="81"/>
            <rFont val="細明體"/>
            <family val="3"/>
            <charset val="136"/>
          </rPr>
          <t>外充機已給甲楚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L146" authorId="0" shapeId="0" xr:uid="{00000000-0006-0000-0400-000049000000}">
      <text>
        <r>
          <rPr>
            <b/>
            <sz val="11"/>
            <color indexed="81"/>
            <rFont val="細明體"/>
            <family val="3"/>
            <charset val="136"/>
          </rPr>
          <t>原拱4700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H148" authorId="0" shapeId="0" xr:uid="{00000000-0006-0000-0400-00004A000000}">
      <text>
        <r>
          <rPr>
            <b/>
            <sz val="11"/>
            <color indexed="81"/>
            <rFont val="Tahoma"/>
            <family val="2"/>
          </rPr>
          <t>113.12/7</t>
        </r>
        <r>
          <rPr>
            <b/>
            <sz val="11"/>
            <color indexed="81"/>
            <rFont val="新細明體"/>
            <family val="1"/>
            <charset val="136"/>
          </rPr>
          <t>售永耀，114.3/20取回換車</t>
        </r>
      </text>
    </comment>
    <comment ref="G151" authorId="0" shapeId="0" xr:uid="{00000000-0006-0000-0400-00004B000000}">
      <text>
        <r>
          <rPr>
            <b/>
            <sz val="12"/>
            <color indexed="81"/>
            <rFont val="細明體"/>
            <family val="3"/>
            <charset val="136"/>
          </rPr>
          <t>運費19000</t>
        </r>
      </text>
    </comment>
    <comment ref="H152" authorId="0" shapeId="0" xr:uid="{00000000-0006-0000-0400-00004C000000}">
      <text>
        <r>
          <rPr>
            <b/>
            <sz val="11"/>
            <color indexed="81"/>
            <rFont val="Tahoma"/>
            <family val="2"/>
          </rPr>
          <t>114.01.13</t>
        </r>
        <r>
          <rPr>
            <b/>
            <sz val="11"/>
            <color indexed="81"/>
            <rFont val="細明體"/>
            <family val="3"/>
            <charset val="136"/>
          </rPr>
          <t xml:space="preserve">換車
</t>
        </r>
      </text>
    </comment>
    <comment ref="L152" authorId="0" shapeId="0" xr:uid="{00000000-0006-0000-0400-00004D000000}">
      <text>
        <r>
          <rPr>
            <sz val="12"/>
            <color indexed="81"/>
            <rFont val="細明體"/>
            <family val="3"/>
            <charset val="136"/>
          </rPr>
          <t xml:space="preserve">114.1/13與NO.511換車，原3米拱對調成6900
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E159" authorId="0" shapeId="0" xr:uid="{00000000-0006-0000-0400-00004E000000}">
      <text>
        <r>
          <rPr>
            <b/>
            <sz val="12"/>
            <color indexed="28"/>
            <rFont val="新細明體"/>
            <family val="1"/>
            <charset val="136"/>
          </rPr>
          <t>原牌55560給永耀
換成：NO.525 7FBRS15-50185
因客戶需求為2014原</t>
        </r>
      </text>
    </comment>
    <comment ref="I169" authorId="1" shapeId="0" xr:uid="{00000000-0006-0000-0400-00004F000000}">
      <text>
        <r>
          <rPr>
            <sz val="12"/>
            <color indexed="81"/>
            <rFont val="細明體"/>
            <family val="3"/>
            <charset val="136"/>
          </rPr>
          <t>堆高機</t>
        </r>
        <r>
          <rPr>
            <sz val="12"/>
            <color indexed="81"/>
            <rFont val="Tahoma"/>
            <family val="2"/>
          </rPr>
          <t>@</t>
        </r>
        <r>
          <rPr>
            <sz val="12"/>
            <color indexed="81"/>
            <rFont val="細明體"/>
            <family val="3"/>
            <charset val="136"/>
          </rPr>
          <t>秀水鄉義興村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細明體"/>
            <family val="3"/>
            <charset val="136"/>
          </rPr>
          <t>街</t>
        </r>
        <r>
          <rPr>
            <sz val="12"/>
            <color indexed="81"/>
            <rFont val="Tahoma"/>
            <family val="2"/>
          </rPr>
          <t>)129</t>
        </r>
        <r>
          <rPr>
            <sz val="12"/>
            <color indexed="81"/>
            <rFont val="細明體"/>
            <family val="3"/>
            <charset val="136"/>
          </rPr>
          <t>號</t>
        </r>
      </text>
    </comment>
    <comment ref="H173" authorId="1" shapeId="0" xr:uid="{00000000-0006-0000-0400-000050000000}">
      <text>
        <r>
          <rPr>
            <sz val="12"/>
            <color indexed="81"/>
            <rFont val="細明體"/>
            <family val="3"/>
            <charset val="136"/>
          </rPr>
          <t>堆高機＠林口倉庫</t>
        </r>
        <r>
          <rPr>
            <sz val="12"/>
            <color indexed="81"/>
            <rFont val="Tahoma"/>
            <family val="2"/>
          </rPr>
          <t>:</t>
        </r>
        <r>
          <rPr>
            <sz val="12"/>
            <color indexed="81"/>
            <rFont val="細明體"/>
            <family val="3"/>
            <charset val="136"/>
          </rPr>
          <t>林口區太平嶺</t>
        </r>
        <r>
          <rPr>
            <sz val="12"/>
            <color indexed="81"/>
            <rFont val="Tahoma"/>
            <family val="2"/>
          </rPr>
          <t>2</t>
        </r>
        <r>
          <rPr>
            <sz val="12"/>
            <color indexed="81"/>
            <rFont val="細明體"/>
            <family val="3"/>
            <charset val="136"/>
          </rPr>
          <t>號之</t>
        </r>
        <r>
          <rPr>
            <sz val="12"/>
            <color indexed="81"/>
            <rFont val="Tahoma"/>
            <family val="2"/>
          </rPr>
          <t>2</t>
        </r>
        <r>
          <rPr>
            <sz val="12"/>
            <color indexed="81"/>
            <rFont val="細明體"/>
            <family val="3"/>
            <charset val="136"/>
          </rPr>
          <t>，</t>
        </r>
        <r>
          <rPr>
            <sz val="12"/>
            <color indexed="81"/>
            <rFont val="Tahoma"/>
            <family val="2"/>
          </rPr>
          <t>C</t>
        </r>
        <r>
          <rPr>
            <sz val="12"/>
            <color indexed="81"/>
            <rFont val="細明體"/>
            <family val="3"/>
            <charset val="136"/>
          </rPr>
          <t>棟
換拱5500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TIGER-XP</author>
    <author>User</author>
  </authors>
  <commentList>
    <comment ref="A3" authorId="0" shapeId="0" xr:uid="{00000000-0006-0000-0500-000001000000}">
      <text>
        <r>
          <rPr>
            <b/>
            <sz val="20"/>
            <color indexed="81"/>
            <rFont val="細明體"/>
            <family val="3"/>
            <charset val="136"/>
          </rPr>
          <t>遺失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1" authorId="1" shapeId="0" xr:uid="{00000000-0006-0000-0500-000002000000}">
      <text>
        <r>
          <rPr>
            <sz val="10"/>
            <color indexed="12"/>
            <rFont val="微軟正黑體"/>
            <family val="2"/>
            <charset val="136"/>
          </rPr>
          <t>原揚高3M 三截貨櫃型 
，與NO.63換</t>
        </r>
        <r>
          <rPr>
            <sz val="9"/>
            <color indexed="81"/>
            <rFont val="新細明體"/>
            <family val="1"/>
            <charset val="136"/>
          </rPr>
          <t xml:space="preserve">             </t>
        </r>
      </text>
    </comment>
    <comment ref="F42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永臣原</t>
        </r>
        <r>
          <rPr>
            <sz val="12"/>
            <color indexed="81"/>
            <rFont val="Tahoma"/>
            <family val="2"/>
          </rPr>
          <t>NO.90</t>
        </r>
        <r>
          <rPr>
            <sz val="12"/>
            <color indexed="81"/>
            <rFont val="細明體"/>
            <family val="3"/>
            <charset val="136"/>
          </rPr>
          <t xml:space="preserve">換車
</t>
        </r>
        <r>
          <rPr>
            <sz val="12"/>
            <color indexed="81"/>
            <rFont val="Tahoma"/>
            <family val="2"/>
          </rPr>
          <t>5/21</t>
        </r>
        <r>
          <rPr>
            <sz val="12"/>
            <color indexed="81"/>
            <rFont val="細明體"/>
            <family val="3"/>
            <charset val="136"/>
          </rPr>
          <t xml:space="preserve">運至永臣
</t>
        </r>
      </text>
    </comment>
    <comment ref="C46" authorId="0" shapeId="0" xr:uid="{00000000-0006-0000-0500-000004000000}">
      <text>
        <r>
          <rPr>
            <b/>
            <sz val="20"/>
            <color indexed="81"/>
            <rFont val="細明體"/>
            <family val="3"/>
            <charset val="136"/>
          </rPr>
          <t>遺失</t>
        </r>
      </text>
    </comment>
    <comment ref="L55" authorId="1" shapeId="0" xr:uid="{00000000-0006-0000-0500-000005000000}">
      <text>
        <r>
          <rPr>
            <b/>
            <sz val="14"/>
            <color indexed="81"/>
            <rFont val="微軟正黑體"/>
            <family val="2"/>
            <charset val="136"/>
          </rPr>
          <t>原揚高4.5M</t>
        </r>
        <r>
          <rPr>
            <b/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63" authorId="0" shapeId="0" xr:uid="{00000000-0006-0000-0500-000006000000}">
      <text>
        <r>
          <rPr>
            <b/>
            <sz val="9"/>
            <color indexed="81"/>
            <rFont val="細明體"/>
            <family val="3"/>
            <charset val="136"/>
          </rPr>
          <t>彰化縣和美鎮湖內里工一路5號
改載到 彰化縣伸港鄉濱海路47之2號(倉庫)
楊先生 04-7977858 #13</t>
        </r>
      </text>
    </comment>
    <comment ref="M66" authorId="0" shapeId="0" xr:uid="{00000000-0006-0000-0500-000007000000}">
      <text>
        <r>
          <rPr>
            <b/>
            <sz val="15"/>
            <color indexed="81"/>
            <rFont val="細明體"/>
            <family val="3"/>
            <charset val="136"/>
          </rPr>
          <t>拱改  6米</t>
        </r>
      </text>
    </comment>
    <comment ref="F70" authorId="0" shapeId="0" xr:uid="{00000000-0006-0000-0500-000008000000}">
      <text>
        <r>
          <rPr>
            <b/>
            <sz val="16"/>
            <color indexed="81"/>
            <rFont val="Tahoma"/>
            <family val="2"/>
          </rPr>
          <t>TD040262</t>
        </r>
      </text>
    </comment>
    <comment ref="F71" authorId="0" shapeId="0" xr:uid="{00000000-0006-0000-0500-000009000000}">
      <text>
        <r>
          <rPr>
            <b/>
            <sz val="18"/>
            <color indexed="81"/>
            <rFont val="Tahoma"/>
            <family val="2"/>
          </rPr>
          <t>TD04023B</t>
        </r>
      </text>
    </comment>
    <comment ref="M74" authorId="0" shapeId="0" xr:uid="{00000000-0006-0000-0500-00000A000000}">
      <text>
        <r>
          <rPr>
            <b/>
            <sz val="15"/>
            <color indexed="81"/>
            <rFont val="Tahoma"/>
            <family val="2"/>
          </rPr>
          <t>103.11.20</t>
        </r>
        <r>
          <rPr>
            <b/>
            <sz val="15"/>
            <color indexed="81"/>
            <rFont val="細明體"/>
            <family val="3"/>
            <charset val="136"/>
          </rPr>
          <t>載去嘉典新廠
104.07.02阿貴載</t>
        </r>
      </text>
    </comment>
    <comment ref="F77" authorId="0" shapeId="0" xr:uid="{00000000-0006-0000-0500-00000B000000}">
      <text>
        <r>
          <rPr>
            <b/>
            <sz val="18"/>
            <color indexed="81"/>
            <rFont val="Tahoma"/>
            <family val="2"/>
          </rPr>
          <t>TD04023B</t>
        </r>
      </text>
    </comment>
    <comment ref="F78" authorId="0" shapeId="0" xr:uid="{00000000-0006-0000-0500-00000C000000}">
      <text>
        <r>
          <rPr>
            <b/>
            <sz val="14"/>
            <color indexed="81"/>
            <rFont val="Tahoma"/>
            <family val="2"/>
          </rPr>
          <t>TD04023B</t>
        </r>
      </text>
    </comment>
    <comment ref="J83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103.12.30</t>
        </r>
        <r>
          <rPr>
            <b/>
            <sz val="9"/>
            <color indexed="81"/>
            <rFont val="細明體"/>
            <family val="3"/>
            <charset val="136"/>
          </rPr>
          <t xml:space="preserve">阿貴吊車
</t>
        </r>
        <r>
          <rPr>
            <b/>
            <sz val="9"/>
            <color indexed="81"/>
            <rFont val="Tahoma"/>
            <family val="2"/>
          </rPr>
          <t>PM4:30
104.11</t>
        </r>
        <r>
          <rPr>
            <b/>
            <sz val="9"/>
            <color indexed="81"/>
            <rFont val="細明體"/>
            <family val="3"/>
            <charset val="136"/>
          </rPr>
          <t xml:space="preserve">月從美光取回
</t>
        </r>
      </text>
    </comment>
    <comment ref="J94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105.03.25</t>
        </r>
        <r>
          <rPr>
            <b/>
            <sz val="9"/>
            <color indexed="81"/>
            <rFont val="細明體"/>
            <family val="3"/>
            <charset val="136"/>
          </rPr>
          <t>苗栗竹南換車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細明體"/>
            <family val="3"/>
            <charset val="136"/>
          </rPr>
          <t>換成</t>
        </r>
        <r>
          <rPr>
            <b/>
            <sz val="9"/>
            <color indexed="81"/>
            <rFont val="Tahoma"/>
            <family val="2"/>
          </rPr>
          <t xml:space="preserve">NO.44)
</t>
        </r>
      </text>
    </comment>
    <comment ref="F97" authorId="0" shapeId="0" xr:uid="{00000000-0006-0000-0500-00000F000000}">
      <text>
        <r>
          <rPr>
            <b/>
            <sz val="20"/>
            <color indexed="81"/>
            <rFont val="Tahoma"/>
            <family val="2"/>
          </rPr>
          <t>TD04023B</t>
        </r>
      </text>
    </comment>
    <comment ref="F102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5/26 </t>
        </r>
        <r>
          <rPr>
            <sz val="9"/>
            <color indexed="81"/>
            <rFont val="細明體"/>
            <family val="3"/>
            <charset val="136"/>
          </rPr>
          <t>運至南科</t>
        </r>
        <r>
          <rPr>
            <sz val="9"/>
            <color indexed="81"/>
            <rFont val="Tahoma"/>
            <family val="2"/>
          </rPr>
          <t xml:space="preserve">3M    </t>
        </r>
        <r>
          <rPr>
            <sz val="9"/>
            <color indexed="81"/>
            <rFont val="細明體"/>
            <family val="3"/>
            <charset val="136"/>
          </rPr>
          <t>租期至</t>
        </r>
        <r>
          <rPr>
            <sz val="9"/>
            <color indexed="81"/>
            <rFont val="Tahoma"/>
            <family val="2"/>
          </rPr>
          <t xml:space="preserve">6/26
</t>
        </r>
        <r>
          <rPr>
            <sz val="9"/>
            <color indexed="81"/>
            <rFont val="細明體"/>
            <family val="3"/>
            <charset val="136"/>
          </rPr>
          <t>租期以月計算</t>
        </r>
        <r>
          <rPr>
            <sz val="9"/>
            <color indexed="81"/>
            <rFont val="Tahoma"/>
            <family val="2"/>
          </rPr>
          <t xml:space="preserve">  </t>
        </r>
      </text>
    </comment>
    <comment ref="J112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104.09.24</t>
        </r>
        <r>
          <rPr>
            <b/>
            <sz val="9"/>
            <color indexed="81"/>
            <rFont val="細明體"/>
            <family val="3"/>
            <charset val="136"/>
          </rPr>
          <t xml:space="preserve">出貨換車
104.11.21吊回
</t>
        </r>
      </text>
    </comment>
    <comment ref="J116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 xml:space="preserve">3/19 </t>
        </r>
        <r>
          <rPr>
            <b/>
            <sz val="9"/>
            <color indexed="81"/>
            <rFont val="細明體"/>
            <family val="3"/>
            <charset val="136"/>
          </rPr>
          <t>大豐員林拖回不租
3/24 拖去苗栗竹南
4/29 拖回改NO.09去竹南</t>
        </r>
      </text>
    </comment>
    <comment ref="F134" authorId="0" shapeId="0" xr:uid="{00000000-0006-0000-0500-000013000000}">
      <text>
        <r>
          <rPr>
            <b/>
            <sz val="18"/>
            <color indexed="81"/>
            <rFont val="Tahoma"/>
            <family val="2"/>
          </rPr>
          <t>TD04023B</t>
        </r>
      </text>
    </comment>
    <comment ref="L137" authorId="0" shapeId="0" xr:uid="{00000000-0006-0000-0500-000014000000}">
      <text>
        <r>
          <rPr>
            <b/>
            <sz val="12"/>
            <color indexed="81"/>
            <rFont val="細明體"/>
            <family val="3"/>
            <charset val="136"/>
          </rPr>
          <t>原3000MM</t>
        </r>
      </text>
    </comment>
    <comment ref="J141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105.07.22</t>
        </r>
        <r>
          <rPr>
            <b/>
            <sz val="9"/>
            <color indexed="81"/>
            <rFont val="細明體"/>
            <family val="3"/>
            <charset val="136"/>
          </rPr>
          <t>從大詠城回來~億銘
106.09.25去台玻鼎杰
106.09.30拖回換NO.102過去</t>
        </r>
      </text>
    </comment>
    <comment ref="J144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106.08.14</t>
        </r>
        <r>
          <rPr>
            <b/>
            <sz val="9"/>
            <color indexed="81"/>
            <rFont val="細明體"/>
            <family val="3"/>
            <charset val="136"/>
          </rPr>
          <t>阿貴吊去慶豐富~拖回129
106.08.23阿源從慶豐富拖回-換129過去</t>
        </r>
      </text>
    </comment>
    <comment ref="M146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>400-5HR
416-6HR</t>
        </r>
      </text>
    </comment>
    <comment ref="J152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>107.09.03</t>
        </r>
        <r>
          <rPr>
            <b/>
            <sz val="9"/>
            <color indexed="81"/>
            <rFont val="細明體"/>
            <family val="3"/>
            <charset val="136"/>
          </rPr>
          <t>慶豐富拖回，換</t>
        </r>
        <r>
          <rPr>
            <b/>
            <sz val="9"/>
            <color indexed="81"/>
            <rFont val="Tahoma"/>
            <family val="2"/>
          </rPr>
          <t>NO.271</t>
        </r>
        <r>
          <rPr>
            <b/>
            <sz val="9"/>
            <color indexed="81"/>
            <rFont val="細明體"/>
            <family val="3"/>
            <charset val="136"/>
          </rPr>
          <t xml:space="preserve">過去
</t>
        </r>
      </text>
    </comment>
    <comment ref="F158" authorId="0" shapeId="0" xr:uid="{00000000-0006-0000-0500-000019000000}">
      <text>
        <r>
          <rPr>
            <b/>
            <sz val="9"/>
            <color indexed="81"/>
            <rFont val="細明體"/>
            <family val="3"/>
            <charset val="136"/>
          </rPr>
          <t>主要是要裡面電瓶..
裝在貿塑租賃堆高機</t>
        </r>
      </text>
    </comment>
    <comment ref="J160" authorId="0" shapeId="0" xr:uid="{00000000-0006-0000-0500-00001A000000}">
      <text>
        <r>
          <rPr>
            <b/>
            <sz val="9"/>
            <color indexed="81"/>
            <rFont val="Tahoma"/>
            <family val="2"/>
          </rPr>
          <t>107.06.28</t>
        </r>
        <r>
          <rPr>
            <b/>
            <sz val="9"/>
            <color indexed="81"/>
            <rFont val="細明體"/>
            <family val="3"/>
            <charset val="136"/>
          </rPr>
          <t>拖去成龍
107.07.09成龍拖回，換no.20過去</t>
        </r>
      </text>
    </comment>
    <comment ref="J161" authorId="0" shapeId="0" xr:uid="{00000000-0006-0000-0500-00001B000000}">
      <text>
        <r>
          <rPr>
            <b/>
            <sz val="9"/>
            <color indexed="81"/>
            <rFont val="細明體"/>
            <family val="3"/>
            <charset val="136"/>
          </rPr>
          <t>慶祥試用~05.20換車
104.07.02阿貴載去門市</t>
        </r>
      </text>
    </comment>
    <comment ref="L171" authorId="0" shapeId="0" xr:uid="{00000000-0006-0000-0500-00001C000000}">
      <text>
        <r>
          <rPr>
            <b/>
            <sz val="12"/>
            <color indexed="81"/>
            <rFont val="細明體"/>
            <family val="3"/>
            <charset val="136"/>
          </rPr>
          <t>原車3000MM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</text>
    </comment>
    <comment ref="J173" authorId="0" shapeId="0" xr:uid="{00000000-0006-0000-0500-00001D000000}">
      <text>
        <r>
          <rPr>
            <b/>
            <sz val="12"/>
            <color indexed="81"/>
            <rFont val="Tahoma"/>
            <family val="2"/>
          </rPr>
          <t>104.06.08</t>
        </r>
        <r>
          <rPr>
            <b/>
            <sz val="12"/>
            <color indexed="81"/>
            <rFont val="細明體"/>
            <family val="3"/>
            <charset val="136"/>
          </rPr>
          <t>阿南載去104.06.09變電箱壞
(104.06.15換一台)104.06.19吊去中強
106.11.14拖回，11/15到公司
107.01.10拖去大欣高雄，取no.221回來
107.03.16從大欣高雄拖回，不租
107.03.30拖去大欣全興工業區
107.08.15大欣全興不續租---代替維修車暫不拖回----107.08.22大欣全興拖回
108.04.11大欣拖回
108.08.06出車鋐昌
108.12.10鋐昌換車拖回，換231過去</t>
        </r>
      </text>
    </comment>
    <comment ref="J181" authorId="0" shapeId="0" xr:uid="{00000000-0006-0000-0500-00001E000000}">
      <text>
        <r>
          <rPr>
            <b/>
            <sz val="12"/>
            <color indexed="81"/>
            <rFont val="Tahoma"/>
            <family val="2"/>
          </rPr>
          <t>104.06.08</t>
        </r>
        <r>
          <rPr>
            <b/>
            <sz val="12"/>
            <color indexed="81"/>
            <rFont val="細明體"/>
            <family val="3"/>
            <charset val="136"/>
          </rPr>
          <t>阿南吊車取回
106.05.22阿顏吊車燿華土城取回~載一台電的給他
107.03.06從大潤發斗南拖回</t>
        </r>
      </text>
    </comment>
    <comment ref="L181" authorId="0" shapeId="0" xr:uid="{00000000-0006-0000-0500-00001F000000}">
      <text>
        <r>
          <rPr>
            <sz val="12"/>
            <color indexed="81"/>
            <rFont val="細明體"/>
            <family val="3"/>
            <charset val="136"/>
          </rPr>
          <t>原3000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M181" authorId="0" shapeId="0" xr:uid="{00000000-0006-0000-0500-000020000000}">
      <text>
        <r>
          <rPr>
            <b/>
            <sz val="9"/>
            <color indexed="81"/>
            <rFont val="細明體"/>
            <family val="3"/>
            <charset val="136"/>
          </rPr>
          <t>原左右側移</t>
        </r>
      </text>
    </comment>
    <comment ref="F182" authorId="0" shapeId="0" xr:uid="{00000000-0006-0000-0500-000021000000}">
      <text>
        <r>
          <rPr>
            <b/>
            <sz val="18"/>
            <color indexed="81"/>
            <rFont val="Tahoma"/>
            <family val="2"/>
          </rPr>
          <t>TD04023B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3" authorId="0" shapeId="0" xr:uid="{00000000-0006-0000-0500-000022000000}">
      <text>
        <r>
          <rPr>
            <b/>
            <sz val="12"/>
            <color indexed="81"/>
            <rFont val="Tahoma"/>
            <family val="2"/>
          </rPr>
          <t>109.04.28</t>
        </r>
        <r>
          <rPr>
            <b/>
            <sz val="12"/>
            <color indexed="81"/>
            <rFont val="細明體"/>
            <family val="3"/>
            <charset val="136"/>
          </rPr>
          <t>從慶豐富拖回…跟NO.297對換</t>
        </r>
      </text>
    </comment>
    <comment ref="M184" authorId="0" shapeId="0" xr:uid="{00000000-0006-0000-0500-000023000000}">
      <text>
        <r>
          <rPr>
            <b/>
            <sz val="9"/>
            <color indexed="81"/>
            <rFont val="Tahoma"/>
            <family val="2"/>
          </rPr>
          <t>700-12</t>
        </r>
        <r>
          <rPr>
            <b/>
            <sz val="9"/>
            <color indexed="81"/>
            <rFont val="細明體"/>
            <family val="3"/>
            <charset val="136"/>
          </rPr>
          <t>後輪
815-15前輪-特殊鋼圈</t>
        </r>
      </text>
    </comment>
    <comment ref="J185" authorId="0" shapeId="0" xr:uid="{00000000-0006-0000-0500-000024000000}">
      <text>
        <r>
          <rPr>
            <b/>
            <sz val="9"/>
            <color indexed="81"/>
            <rFont val="Tahoma"/>
            <family val="2"/>
          </rPr>
          <t>105.07.22</t>
        </r>
        <r>
          <rPr>
            <b/>
            <sz val="9"/>
            <color indexed="81"/>
            <rFont val="細明體"/>
            <family val="3"/>
            <charset val="136"/>
          </rPr>
          <t>從大詠城回來~億銘
106.10.12從鼎杰梧棲回來
已從立國拖回</t>
        </r>
      </text>
    </comment>
    <comment ref="J191" authorId="0" shapeId="0" xr:uid="{00000000-0006-0000-0500-000025000000}">
      <text>
        <r>
          <rPr>
            <b/>
            <sz val="12"/>
            <color indexed="81"/>
            <rFont val="Tahoma"/>
            <family val="2"/>
          </rPr>
          <t>107.04.26</t>
        </r>
        <r>
          <rPr>
            <b/>
            <sz val="12"/>
            <color indexed="81"/>
            <rFont val="細明體"/>
            <family val="3"/>
            <charset val="136"/>
          </rPr>
          <t>大欣線西拖回維修
107.05.09開回大欣線西
108.04從大欣苗栗拖回
108.05.28出車張凱彬(已拖回)</t>
        </r>
      </text>
    </comment>
    <comment ref="J192" authorId="0" shapeId="0" xr:uid="{00000000-0006-0000-0500-000026000000}">
      <text>
        <r>
          <rPr>
            <b/>
            <sz val="12"/>
            <color indexed="81"/>
            <rFont val="Tahoma"/>
            <family val="2"/>
          </rPr>
          <t>107.04.09</t>
        </r>
        <r>
          <rPr>
            <b/>
            <sz val="12"/>
            <color indexed="81"/>
            <rFont val="細明體"/>
            <family val="3"/>
            <charset val="136"/>
          </rPr>
          <t>大欣線西拖回維修
107.05.02自己開過去
108.04從大欣苗栗拖回
108.05.28出車張凱斌
108.12.10跟鋐昌換車，拖回117
109.05.20鋐昌拖回不租</t>
        </r>
      </text>
    </comment>
    <comment ref="L192" authorId="0" shapeId="0" xr:uid="{00000000-0006-0000-0500-000027000000}">
      <text>
        <r>
          <rPr>
            <b/>
            <sz val="9"/>
            <color indexed="81"/>
            <rFont val="細明體"/>
            <family val="3"/>
            <charset val="136"/>
          </rPr>
          <t xml:space="preserve">原車3000
</t>
        </r>
      </text>
    </comment>
    <comment ref="J201" authorId="0" shapeId="0" xr:uid="{00000000-0006-0000-0500-000028000000}">
      <text>
        <r>
          <rPr>
            <b/>
            <sz val="15"/>
            <color indexed="81"/>
            <rFont val="Tahoma"/>
            <family val="2"/>
          </rPr>
          <t>104.06.08</t>
        </r>
        <r>
          <rPr>
            <b/>
            <sz val="15"/>
            <color indexed="81"/>
            <rFont val="細明體"/>
            <family val="3"/>
            <charset val="136"/>
          </rPr>
          <t>阿南吊車載去
104.11.05土城吊回
107.01大豐沙鹿拖回
109.06.12從慶豐富拖回與no.313交換</t>
        </r>
      </text>
    </comment>
    <comment ref="M201" authorId="0" shapeId="0" xr:uid="{00000000-0006-0000-0500-000029000000}">
      <text>
        <r>
          <rPr>
            <b/>
            <sz val="9"/>
            <color indexed="81"/>
            <rFont val="細明體"/>
            <family val="3"/>
            <charset val="136"/>
          </rPr>
          <t>引擎:ISUZU N755047</t>
        </r>
      </text>
    </comment>
    <comment ref="C206" authorId="0" shapeId="0" xr:uid="{00000000-0006-0000-0500-00002A000000}">
      <text>
        <r>
          <rPr>
            <b/>
            <sz val="9"/>
            <color indexed="81"/>
            <rFont val="細明體"/>
            <family val="3"/>
            <charset val="136"/>
          </rPr>
          <t>銳冠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細明體"/>
            <family val="3"/>
            <charset val="136"/>
          </rPr>
          <t>堆高機</t>
        </r>
        <r>
          <rPr>
            <b/>
            <sz val="9"/>
            <color indexed="81"/>
            <rFont val="Tahoma"/>
            <family val="2"/>
          </rPr>
          <t xml:space="preserve">~  </t>
        </r>
        <r>
          <rPr>
            <b/>
            <sz val="9"/>
            <color indexed="81"/>
            <rFont val="細明體"/>
            <family val="3"/>
            <charset val="136"/>
          </rPr>
          <t>找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細明體"/>
            <family val="3"/>
            <charset val="136"/>
          </rPr>
          <t>劉先生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細明體"/>
            <family val="3"/>
            <charset val="136"/>
          </rPr>
          <t>和美鎮鹿和路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細明體"/>
            <family val="3"/>
            <charset val="136"/>
          </rPr>
          <t>段</t>
        </r>
        <r>
          <rPr>
            <b/>
            <sz val="9"/>
            <color indexed="81"/>
            <rFont val="Tahoma"/>
            <family val="2"/>
          </rPr>
          <t>630</t>
        </r>
        <r>
          <rPr>
            <b/>
            <sz val="9"/>
            <color indexed="81"/>
            <rFont val="細明體"/>
            <family val="3"/>
            <charset val="136"/>
          </rPr>
          <t>巷</t>
        </r>
        <r>
          <rPr>
            <b/>
            <sz val="9"/>
            <color indexed="81"/>
            <rFont val="Tahoma"/>
            <family val="2"/>
          </rPr>
          <t>188</t>
        </r>
        <r>
          <rPr>
            <b/>
            <sz val="9"/>
            <color indexed="81"/>
            <rFont val="細明體"/>
            <family val="3"/>
            <charset val="136"/>
          </rPr>
          <t>號</t>
        </r>
      </text>
    </comment>
    <comment ref="J206" authorId="0" shapeId="0" xr:uid="{00000000-0006-0000-0500-00002B000000}">
      <text>
        <r>
          <rPr>
            <b/>
            <sz val="9"/>
            <color indexed="81"/>
            <rFont val="Tahoma"/>
            <family val="2"/>
          </rPr>
          <t>110.10/15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取回處理電腦板</t>
        </r>
      </text>
    </comment>
    <comment ref="M210" authorId="0" shapeId="0" xr:uid="{00000000-0006-0000-0500-00002C000000}">
      <text>
        <r>
          <rPr>
            <b/>
            <sz val="11"/>
            <color indexed="81"/>
            <rFont val="細明體"/>
            <family val="3"/>
            <charset val="136"/>
          </rPr>
          <t>堆高機@埔心鄉源泉路二段160號</t>
        </r>
      </text>
    </comment>
    <comment ref="J218" authorId="0" shapeId="0" xr:uid="{00000000-0006-0000-0500-00002D000000}">
      <text>
        <r>
          <rPr>
            <b/>
            <sz val="9"/>
            <color indexed="81"/>
            <rFont val="Tahoma"/>
            <family val="2"/>
          </rPr>
          <t>110.7/1</t>
        </r>
        <r>
          <rPr>
            <b/>
            <sz val="9"/>
            <color indexed="81"/>
            <rFont val="細明體"/>
            <family val="3"/>
            <charset val="136"/>
          </rPr>
          <t>載回維修 借用一台</t>
        </r>
      </text>
    </comment>
    <comment ref="J225" authorId="0" shapeId="0" xr:uid="{00000000-0006-0000-0500-00002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租約5/14到期</t>
        </r>
      </text>
    </comment>
    <comment ref="M234" authorId="0" shapeId="0" xr:uid="{00000000-0006-0000-0500-00002F000000}">
      <text>
        <r>
          <rPr>
            <b/>
            <sz val="12"/>
            <color indexed="81"/>
            <rFont val="細明體"/>
            <family val="3"/>
            <charset val="136"/>
          </rPr>
          <t>原翻牙</t>
        </r>
      </text>
    </comment>
    <comment ref="J238" authorId="0" shapeId="0" xr:uid="{00000000-0006-0000-0500-000030000000}">
      <text>
        <r>
          <rPr>
            <b/>
            <sz val="9"/>
            <color indexed="81"/>
            <rFont val="細明體"/>
            <family val="3"/>
            <charset val="136"/>
          </rPr>
          <t xml:space="preserve">取回改成4米拱.9/29再出貨(費用7萬5)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0" authorId="0" shapeId="0" xr:uid="{00000000-0006-0000-0500-000031000000}">
      <text>
        <r>
          <rPr>
            <b/>
            <sz val="9"/>
            <color indexed="81"/>
            <rFont val="細明體"/>
            <family val="3"/>
            <charset val="136"/>
          </rPr>
          <t>取回修改，10/13再出貨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6" authorId="0" shapeId="0" xr:uid="{00000000-0006-0000-0500-000032000000}">
      <text>
        <r>
          <rPr>
            <b/>
            <sz val="9"/>
            <color indexed="81"/>
            <rFont val="Tahoma"/>
            <family val="2"/>
          </rPr>
          <t>10/9</t>
        </r>
        <r>
          <rPr>
            <b/>
            <sz val="9"/>
            <color indexed="81"/>
            <rFont val="細明體"/>
            <family val="3"/>
            <charset val="136"/>
          </rPr>
          <t xml:space="preserve">試車，12月確認請款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48" authorId="0" shapeId="0" xr:uid="{00000000-0006-0000-0500-000033000000}">
      <text>
        <r>
          <rPr>
            <b/>
            <sz val="9"/>
            <color indexed="81"/>
            <rFont val="細明體"/>
            <family val="3"/>
            <charset val="136"/>
          </rPr>
          <t xml:space="preserve">原3米改5800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50" authorId="0" shapeId="0" xr:uid="{00000000-0006-0000-0500-000034000000}">
      <text>
        <r>
          <rPr>
            <b/>
            <sz val="9"/>
            <color indexed="81"/>
            <rFont val="細明體"/>
            <family val="3"/>
            <charset val="136"/>
          </rPr>
          <t xml:space="preserve">實收5萬入弘盛第一
</t>
        </r>
      </text>
    </comment>
    <comment ref="I251" authorId="0" shapeId="0" xr:uid="{00000000-0006-0000-0500-000035000000}">
      <text>
        <r>
          <rPr>
            <b/>
            <sz val="9"/>
            <color indexed="81"/>
            <rFont val="細明體"/>
            <family val="3"/>
            <charset val="136"/>
          </rPr>
          <t xml:space="preserve">玄耕:取回NO.299+出本機台NO.385=7萬
</t>
        </r>
      </text>
    </comment>
    <comment ref="I252" authorId="0" shapeId="0" xr:uid="{00000000-0006-0000-0500-000036000000}">
      <text>
        <r>
          <rPr>
            <b/>
            <sz val="9"/>
            <color indexed="81"/>
            <rFont val="細明體"/>
            <family val="3"/>
            <charset val="136"/>
          </rPr>
          <t>合升:</t>
        </r>
        <r>
          <rPr>
            <b/>
            <sz val="9"/>
            <color indexed="81"/>
            <rFont val="細明體"/>
            <family val="3"/>
            <charset val="136"/>
          </rPr>
          <t>估回NO103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售出一台</t>
        </r>
        <r>
          <rPr>
            <b/>
            <sz val="9"/>
            <color indexed="81"/>
            <rFont val="Tahoma"/>
            <family val="2"/>
          </rPr>
          <t>NO.387</t>
        </r>
        <r>
          <rPr>
            <b/>
            <sz val="9"/>
            <color indexed="81"/>
            <rFont val="細明體"/>
            <family val="3"/>
            <charset val="136"/>
          </rPr>
          <t>共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細明體"/>
            <family val="3"/>
            <charset val="136"/>
          </rPr>
          <t>萬</t>
        </r>
      </text>
    </comment>
    <comment ref="I253" authorId="0" shapeId="0" xr:uid="{00000000-0006-0000-0500-000037000000}">
      <text>
        <r>
          <rPr>
            <b/>
            <sz val="9"/>
            <color indexed="81"/>
            <rFont val="細明體"/>
            <family val="3"/>
            <charset val="136"/>
          </rPr>
          <t>玄耕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細明體"/>
            <family val="3"/>
            <charset val="136"/>
          </rPr>
          <t>取回</t>
        </r>
        <r>
          <rPr>
            <b/>
            <sz val="9"/>
            <color indexed="81"/>
            <rFont val="Tahoma"/>
            <family val="2"/>
          </rPr>
          <t>NO.299+</t>
        </r>
        <r>
          <rPr>
            <b/>
            <sz val="9"/>
            <color indexed="81"/>
            <rFont val="細明體"/>
            <family val="3"/>
            <charset val="136"/>
          </rPr>
          <t>出本機台</t>
        </r>
        <r>
          <rPr>
            <b/>
            <sz val="9"/>
            <color indexed="81"/>
            <rFont val="Tahoma"/>
            <family val="2"/>
          </rPr>
          <t>NO.385=7</t>
        </r>
        <r>
          <rPr>
            <b/>
            <sz val="9"/>
            <color indexed="81"/>
            <rFont val="細明體"/>
            <family val="3"/>
            <charset val="136"/>
          </rPr>
          <t>萬</t>
        </r>
      </text>
    </comment>
    <comment ref="J253" authorId="0" shapeId="0" xr:uid="{00000000-0006-0000-0500-000038000000}">
      <text>
        <r>
          <rPr>
            <sz val="9"/>
            <color indexed="81"/>
            <rFont val="細明體"/>
            <family val="3"/>
            <charset val="136"/>
          </rPr>
          <t>珣睿</t>
        </r>
        <r>
          <rPr>
            <sz val="9"/>
            <color indexed="81"/>
            <rFont val="Tahoma"/>
            <family val="2"/>
          </rPr>
          <t>12/1</t>
        </r>
        <r>
          <rPr>
            <sz val="9"/>
            <color indexed="81"/>
            <rFont val="細明體"/>
            <family val="3"/>
            <charset val="136"/>
          </rPr>
          <t>試用.1/19確認購買</t>
        </r>
      </text>
    </comment>
    <comment ref="F254" authorId="0" shapeId="0" xr:uid="{00000000-0006-0000-0500-000039000000}">
      <text>
        <r>
          <rPr>
            <b/>
            <sz val="10"/>
            <color indexed="10"/>
            <rFont val="新細明體"/>
            <family val="1"/>
            <charset val="136"/>
          </rPr>
          <t>非原機銘牌，以6FBRJ9-30275示之</t>
        </r>
        <r>
          <rPr>
            <b/>
            <sz val="10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56" authorId="0" shapeId="0" xr:uid="{00000000-0006-0000-0500-00003A000000}">
      <text>
        <r>
          <rPr>
            <sz val="9"/>
            <color indexed="81"/>
            <rFont val="細明體"/>
            <family val="3"/>
            <charset val="136"/>
          </rPr>
          <t>員林市山腳路</t>
        </r>
        <r>
          <rPr>
            <sz val="9"/>
            <color indexed="81"/>
            <rFont val="Tahoma"/>
            <family val="2"/>
          </rPr>
          <t>324</t>
        </r>
        <r>
          <rPr>
            <sz val="9"/>
            <color indexed="81"/>
            <rFont val="細明體"/>
            <family val="3"/>
            <charset val="136"/>
          </rPr>
          <t>巷</t>
        </r>
        <r>
          <rPr>
            <sz val="9"/>
            <color indexed="81"/>
            <rFont val="Tahoma"/>
            <family val="2"/>
          </rPr>
          <t>37</t>
        </r>
        <r>
          <rPr>
            <sz val="9"/>
            <color indexed="81"/>
            <rFont val="細明體"/>
            <family val="3"/>
            <charset val="136"/>
          </rPr>
          <t>號</t>
        </r>
      </text>
    </comment>
    <comment ref="J257" authorId="0" shapeId="0" xr:uid="{00000000-0006-0000-0500-00003B000000}">
      <text>
        <r>
          <rPr>
            <b/>
            <sz val="9"/>
            <color indexed="81"/>
            <rFont val="細明體"/>
            <family val="3"/>
            <charset val="136"/>
          </rPr>
          <t>北斗鎮大新路</t>
        </r>
        <r>
          <rPr>
            <b/>
            <sz val="9"/>
            <color indexed="81"/>
            <rFont val="Tahoma"/>
            <family val="2"/>
          </rPr>
          <t>357</t>
        </r>
        <r>
          <rPr>
            <b/>
            <sz val="9"/>
            <color indexed="81"/>
            <rFont val="細明體"/>
            <family val="3"/>
            <charset val="136"/>
          </rPr>
          <t>號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75" authorId="0" shapeId="0" xr:uid="{00000000-0006-0000-0500-00003C000000}">
      <text>
        <r>
          <rPr>
            <sz val="9"/>
            <color indexed="81"/>
            <rFont val="細明體"/>
            <family val="3"/>
            <charset val="136"/>
          </rPr>
          <t xml:space="preserve">原租鴻騰裝新電瓶110.12.24取回
</t>
        </r>
      </text>
    </comment>
    <comment ref="J279" authorId="0" shapeId="0" xr:uid="{00000000-0006-0000-0500-00003D000000}">
      <text>
        <r>
          <rPr>
            <b/>
            <sz val="9"/>
            <color indexed="81"/>
            <rFont val="Tahoma"/>
            <family val="2"/>
          </rPr>
          <t>6/1</t>
        </r>
        <r>
          <rPr>
            <b/>
            <sz val="9"/>
            <color indexed="81"/>
            <rFont val="細明體"/>
            <family val="3"/>
            <charset val="136"/>
          </rPr>
          <t>取回
6/9至嘉義</t>
        </r>
      </text>
    </comment>
    <comment ref="J282" authorId="0" shapeId="0" xr:uid="{00000000-0006-0000-0500-00003E000000}">
      <text>
        <r>
          <rPr>
            <b/>
            <sz val="10"/>
            <color indexed="81"/>
            <rFont val="Tahoma"/>
            <family val="2"/>
          </rPr>
          <t>5/24</t>
        </r>
        <r>
          <rPr>
            <b/>
            <sz val="10"/>
            <color indexed="81"/>
            <rFont val="細明體"/>
            <family val="3"/>
            <charset val="136"/>
          </rPr>
          <t>出車NO88…12/1回
12/7換車NO.397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0" authorId="0" shapeId="0" xr:uid="{00000000-0006-0000-0500-00003F000000}">
      <text>
        <r>
          <rPr>
            <b/>
            <sz val="12"/>
            <color indexed="81"/>
            <rFont val="細明體"/>
            <family val="3"/>
            <charset val="136"/>
          </rPr>
          <t>德技估回4萬元.111.1/21取回</t>
        </r>
      </text>
    </comment>
    <comment ref="F292" authorId="0" shapeId="0" xr:uid="{00000000-0006-0000-0500-000040000000}">
      <text>
        <r>
          <rPr>
            <b/>
            <sz val="10"/>
            <color indexed="81"/>
            <rFont val="新細明體"/>
            <family val="1"/>
            <charset val="136"/>
            <scheme val="minor"/>
          </rPr>
          <t>狗牌換成NO.429
7FBR15-17506
因需報單及TS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94" authorId="0" shapeId="0" xr:uid="{00000000-0006-0000-0500-000041000000}">
      <text>
        <r>
          <rPr>
            <b/>
            <sz val="12"/>
            <color indexed="81"/>
            <rFont val="細明體"/>
            <family val="3"/>
            <charset val="136"/>
          </rPr>
          <t>揚高3米改4米5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F295" authorId="0" shapeId="0" xr:uid="{00000000-0006-0000-0500-000042000000}">
      <text>
        <r>
          <rPr>
            <b/>
            <sz val="9"/>
            <color indexed="81"/>
            <rFont val="細明體"/>
            <family val="3"/>
            <charset val="136"/>
          </rPr>
          <t>以NO.19銘牌出貨
6FBR15-33810
因客戶需求為1.5T</t>
        </r>
      </text>
    </comment>
    <comment ref="I299" authorId="0" shapeId="0" xr:uid="{00000000-0006-0000-0500-000043000000}">
      <text>
        <r>
          <rPr>
            <b/>
            <sz val="9"/>
            <color indexed="81"/>
            <rFont val="細明體"/>
            <family val="3"/>
            <charset val="136"/>
          </rPr>
          <t xml:space="preserve">內含電瓶7萬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02" authorId="0" shapeId="0" xr:uid="{00000000-0006-0000-0500-000044000000}">
      <text>
        <r>
          <rPr>
            <b/>
            <sz val="9"/>
            <color indexed="81"/>
            <rFont val="細明體"/>
            <family val="3"/>
            <charset val="136"/>
          </rPr>
          <t>原高度3米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03" authorId="0" shapeId="0" xr:uid="{00000000-0006-0000-0500-000045000000}">
      <text>
        <r>
          <rPr>
            <b/>
            <sz val="10"/>
            <color indexed="81"/>
            <rFont val="細明體"/>
            <family val="3"/>
            <charset val="136"/>
          </rPr>
          <t>已換牌為
NO.268 6FBR15-12329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細明體"/>
            <family val="3"/>
            <charset val="136"/>
          </rPr>
          <t>因客戶需求為1.5T</t>
        </r>
      </text>
    </comment>
    <comment ref="J304" authorId="0" shapeId="0" xr:uid="{00000000-0006-0000-0500-000046000000}">
      <text>
        <r>
          <rPr>
            <b/>
            <sz val="11"/>
            <color indexed="81"/>
            <rFont val="細明體"/>
            <family val="3"/>
            <charset val="136"/>
          </rPr>
          <t>後來試用不買，6/1賣給昶德</t>
        </r>
      </text>
    </comment>
    <comment ref="L305" authorId="0" shapeId="0" xr:uid="{00000000-0006-0000-0500-000047000000}">
      <text>
        <r>
          <rPr>
            <b/>
            <sz val="12"/>
            <color indexed="81"/>
            <rFont val="新細明體"/>
            <family val="1"/>
            <charset val="136"/>
          </rPr>
          <t xml:space="preserve">原揚高3米.
換拱3節6米
</t>
        </r>
      </text>
    </comment>
    <comment ref="I306" authorId="0" shapeId="0" xr:uid="{00000000-0006-0000-0500-000048000000}">
      <text>
        <r>
          <rPr>
            <b/>
            <sz val="12"/>
            <color indexed="81"/>
            <rFont val="Tahoma"/>
            <family val="2"/>
          </rPr>
          <t>102/05/10</t>
        </r>
        <r>
          <rPr>
            <b/>
            <sz val="12"/>
            <color indexed="81"/>
            <rFont val="新細明體"/>
            <family val="1"/>
            <charset val="136"/>
          </rPr>
          <t>出售</t>
        </r>
        <r>
          <rPr>
            <b/>
            <sz val="12"/>
            <color indexed="81"/>
            <rFont val="Tahoma"/>
            <family val="2"/>
          </rPr>
          <t>NO.38</t>
        </r>
        <r>
          <rPr>
            <b/>
            <sz val="12"/>
            <color indexed="81"/>
            <rFont val="新細明體"/>
            <family val="1"/>
            <charset val="136"/>
          </rPr>
          <t>昌祥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新細明體"/>
            <family val="1"/>
            <charset val="136"/>
          </rPr>
          <t>20萬
112.04估回+售出NO.103=7萬8</t>
        </r>
        <r>
          <rPr>
            <b/>
            <sz val="12"/>
            <color indexed="81"/>
            <rFont val="Tahoma"/>
            <family val="2"/>
          </rPr>
          <t xml:space="preserve"> </t>
        </r>
      </text>
    </comment>
    <comment ref="J306" authorId="0" shapeId="0" xr:uid="{00000000-0006-0000-0500-000049000000}">
      <text>
        <r>
          <rPr>
            <b/>
            <sz val="10"/>
            <color indexed="81"/>
            <rFont val="Tahoma"/>
            <family val="2"/>
          </rPr>
          <t>103/09/30</t>
        </r>
        <r>
          <rPr>
            <b/>
            <sz val="10"/>
            <color indexed="81"/>
            <rFont val="細明體"/>
            <family val="3"/>
            <charset val="136"/>
          </rPr>
          <t>出售合升10萬.</t>
        </r>
        <r>
          <rPr>
            <b/>
            <sz val="10"/>
            <color indexed="81"/>
            <rFont val="Tahoma"/>
            <family val="2"/>
          </rPr>
          <t>110/11/17</t>
        </r>
        <r>
          <rPr>
            <b/>
            <sz val="10"/>
            <color indexed="81"/>
            <rFont val="細明體"/>
            <family val="3"/>
            <charset val="136"/>
          </rPr>
          <t>估回+售出一台NO.387共10萬</t>
        </r>
      </text>
    </comment>
    <comment ref="L308" authorId="0" shapeId="0" xr:uid="{00000000-0006-0000-0500-00004A000000}">
      <text>
        <r>
          <rPr>
            <b/>
            <sz val="9"/>
            <color indexed="81"/>
            <rFont val="細明體"/>
            <family val="3"/>
            <charset val="136"/>
          </rPr>
          <t xml:space="preserve">原揚高5米
</t>
        </r>
      </text>
    </comment>
    <comment ref="I309" authorId="0" shapeId="0" xr:uid="{00000000-0006-0000-0500-00004B000000}">
      <text>
        <r>
          <rPr>
            <b/>
            <sz val="9"/>
            <color indexed="81"/>
            <rFont val="細明體"/>
            <family val="3"/>
            <charset val="136"/>
          </rPr>
          <t>報價25萬
估回一台座式電動5萬
20萬含稅價</t>
        </r>
      </text>
    </comment>
    <comment ref="L309" authorId="0" shapeId="0" xr:uid="{00000000-0006-0000-0500-00004C000000}">
      <text>
        <r>
          <rPr>
            <b/>
            <sz val="12"/>
            <color indexed="81"/>
            <rFont val="細明體"/>
            <family val="3"/>
            <charset val="136"/>
          </rPr>
          <t>換拱，原揚高6300</t>
        </r>
      </text>
    </comment>
    <comment ref="M309" authorId="0" shapeId="0" xr:uid="{00000000-0006-0000-0500-00004D000000}">
      <text>
        <r>
          <rPr>
            <b/>
            <sz val="11"/>
            <color indexed="81"/>
            <rFont val="細明體"/>
            <family val="3"/>
            <charset val="136"/>
          </rPr>
          <t>原電瓶為</t>
        </r>
        <r>
          <rPr>
            <b/>
            <sz val="11"/>
            <color indexed="81"/>
            <rFont val="Tahoma"/>
            <family val="2"/>
          </rPr>
          <t>48V 700Ah</t>
        </r>
      </text>
    </comment>
    <comment ref="I313" authorId="0" shapeId="0" xr:uid="{00000000-0006-0000-0500-00004E000000}">
      <text>
        <r>
          <rPr>
            <b/>
            <sz val="11"/>
            <color indexed="81"/>
            <rFont val="細明體"/>
            <family val="3"/>
            <charset val="136"/>
          </rPr>
          <t>舊機估回NO.427抵6萬</t>
        </r>
        <r>
          <rPr>
            <b/>
            <sz val="11"/>
            <color indexed="81"/>
            <rFont val="Tahoma"/>
            <family val="2"/>
          </rPr>
          <t xml:space="preserve">
</t>
        </r>
      </text>
    </comment>
    <comment ref="L315" authorId="0" shapeId="0" xr:uid="{00000000-0006-0000-0500-00004F000000}">
      <text>
        <r>
          <rPr>
            <b/>
            <sz val="10"/>
            <color indexed="81"/>
            <rFont val="細明體"/>
            <family val="3"/>
            <charset val="136"/>
          </rPr>
          <t>原高度3米，換拱</t>
        </r>
        <r>
          <rPr>
            <b/>
            <sz val="10"/>
            <color indexed="81"/>
            <rFont val="Tahoma"/>
            <family val="2"/>
          </rPr>
          <t>6</t>
        </r>
        <r>
          <rPr>
            <b/>
            <sz val="10"/>
            <color indexed="81"/>
            <rFont val="細明體"/>
            <family val="3"/>
            <charset val="136"/>
          </rPr>
          <t>米+左右側移</t>
        </r>
        <r>
          <rPr>
            <b/>
            <sz val="10"/>
            <color indexed="81"/>
            <rFont val="Tahoma"/>
            <family val="2"/>
          </rPr>
          <t xml:space="preserve">
</t>
        </r>
      </text>
    </comment>
    <comment ref="I316" authorId="0" shapeId="0" xr:uid="{00000000-0006-0000-0500-000050000000}">
      <text>
        <r>
          <rPr>
            <b/>
            <sz val="10"/>
            <color indexed="81"/>
            <rFont val="細明體"/>
            <family val="3"/>
            <charset val="136"/>
          </rPr>
          <t>NO.89估回15萬，辰光補8萬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L316" authorId="0" shapeId="0" xr:uid="{00000000-0006-0000-0500-000051000000}">
      <text>
        <r>
          <rPr>
            <b/>
            <sz val="10"/>
            <color indexed="81"/>
            <rFont val="細明體"/>
            <family val="3"/>
            <charset val="136"/>
          </rPr>
          <t>原高度3米，換拱三截4米半</t>
        </r>
        <r>
          <rPr>
            <b/>
            <sz val="10"/>
            <color indexed="81"/>
            <rFont val="Tahoma"/>
            <family val="2"/>
          </rPr>
          <t xml:space="preserve">
</t>
        </r>
      </text>
    </comment>
    <comment ref="I320" authorId="0" shapeId="0" xr:uid="{00000000-0006-0000-0500-000052000000}">
      <text>
        <r>
          <rPr>
            <b/>
            <sz val="9"/>
            <color indexed="81"/>
            <rFont val="細明體"/>
            <family val="3"/>
            <charset val="136"/>
          </rPr>
          <t>取回NO.188-$22萬
補貼3萬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22" authorId="0" shapeId="0" xr:uid="{00000000-0006-0000-0500-000053000000}">
      <text>
        <r>
          <rPr>
            <sz val="11"/>
            <color indexed="81"/>
            <rFont val="細明體"/>
            <family val="3"/>
            <charset val="136"/>
          </rPr>
          <t>原拱3米換4米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I323" authorId="0" shapeId="0" xr:uid="{00000000-0006-0000-0500-000054000000}">
      <text>
        <r>
          <rPr>
            <b/>
            <sz val="12"/>
            <color indexed="81"/>
            <rFont val="細明體"/>
            <family val="3"/>
            <charset val="136"/>
          </rPr>
          <t>抵取回之貨架</t>
        </r>
      </text>
    </comment>
    <comment ref="M326" authorId="0" shapeId="0" xr:uid="{00000000-0006-0000-0500-000055000000}">
      <text>
        <r>
          <rPr>
            <sz val="12"/>
            <color indexed="81"/>
            <rFont val="細明體"/>
            <family val="3"/>
            <charset val="136"/>
          </rPr>
          <t>雋程:鹿槓頭南里頭庄巷38-39號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售18萬</t>
        </r>
      </text>
    </comment>
    <comment ref="L328" authorId="0" shapeId="0" xr:uid="{00000000-0006-0000-0500-000056000000}">
      <text>
        <r>
          <rPr>
            <b/>
            <sz val="12"/>
            <color indexed="81"/>
            <rFont val="細明體"/>
            <family val="3"/>
            <charset val="136"/>
          </rPr>
          <t>實際為4300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估回來車牌與外觀就不一致.可能不是原牌</t>
        </r>
      </text>
    </comment>
    <comment ref="L330" authorId="0" shapeId="0" xr:uid="{00000000-0006-0000-0500-000057000000}">
      <text>
        <r>
          <rPr>
            <b/>
            <sz val="10"/>
            <color indexed="81"/>
            <rFont val="細明體"/>
            <family val="3"/>
            <charset val="136"/>
          </rPr>
          <t>換拱，原高度4米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33" authorId="0" shapeId="0" xr:uid="{00000000-0006-0000-0500-000058000000}">
      <text>
        <r>
          <rPr>
            <b/>
            <sz val="10"/>
            <color indexed="81"/>
            <rFont val="Tahoma"/>
            <family val="2"/>
          </rPr>
          <t>@</t>
        </r>
        <r>
          <rPr>
            <b/>
            <sz val="10"/>
            <color indexed="81"/>
            <rFont val="細明體"/>
            <family val="3"/>
            <charset val="136"/>
          </rPr>
          <t>三豐路二段本廠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L333" authorId="0" shapeId="0" xr:uid="{00000000-0006-0000-0500-000059000000}">
      <text>
        <r>
          <rPr>
            <sz val="11"/>
            <color indexed="81"/>
            <rFont val="細明體"/>
            <family val="3"/>
            <charset val="136"/>
          </rPr>
          <t>換拱，原高度3500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J334" authorId="0" shapeId="0" xr:uid="{00000000-0006-0000-0500-00005A000000}">
      <text>
        <r>
          <rPr>
            <b/>
            <sz val="12"/>
            <color indexed="81"/>
            <rFont val="Tahoma"/>
            <family val="2"/>
          </rPr>
          <t>@</t>
        </r>
        <r>
          <rPr>
            <b/>
            <sz val="12"/>
            <color indexed="81"/>
            <rFont val="細明體"/>
            <family val="3"/>
            <charset val="136"/>
          </rPr>
          <t>豐原區圓環東路810巷25號</t>
        </r>
      </text>
    </comment>
    <comment ref="M339" authorId="0" shapeId="0" xr:uid="{00000000-0006-0000-0500-00005B000000}">
      <text>
        <r>
          <rPr>
            <b/>
            <sz val="10"/>
            <color indexed="81"/>
            <rFont val="細明體"/>
            <family val="3"/>
            <charset val="136"/>
          </rPr>
          <t>堆高機送：新北市八里區中華路二段</t>
        </r>
        <r>
          <rPr>
            <b/>
            <sz val="10"/>
            <color indexed="81"/>
            <rFont val="Tahoma"/>
            <family val="2"/>
          </rPr>
          <t>165</t>
        </r>
        <r>
          <rPr>
            <b/>
            <sz val="10"/>
            <color indexed="81"/>
            <rFont val="細明體"/>
            <family val="3"/>
            <charset val="136"/>
          </rPr>
          <t>巷</t>
        </r>
        <r>
          <rPr>
            <b/>
            <sz val="10"/>
            <color indexed="81"/>
            <rFont val="Tahoma"/>
            <family val="2"/>
          </rPr>
          <t>2-1</t>
        </r>
        <r>
          <rPr>
            <b/>
            <sz val="10"/>
            <color indexed="81"/>
            <rFont val="細明體"/>
            <family val="3"/>
            <charset val="136"/>
          </rPr>
          <t>號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細明體"/>
            <family val="3"/>
            <charset val="136"/>
          </rPr>
          <t>張</t>
        </r>
        <r>
          <rPr>
            <b/>
            <sz val="10"/>
            <color indexed="81"/>
            <rFont val="Tahoma"/>
            <family val="2"/>
          </rPr>
          <t>'r0955-059375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L340" authorId="0" shapeId="0" xr:uid="{00000000-0006-0000-0500-00005C000000}">
      <text>
        <r>
          <rPr>
            <sz val="11"/>
            <color indexed="81"/>
            <rFont val="細明體"/>
            <family val="3"/>
            <charset val="136"/>
          </rPr>
          <t>換拱，原高度4000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M340" authorId="0" shapeId="0" xr:uid="{00000000-0006-0000-0500-00005D000000}">
      <text>
        <r>
          <rPr>
            <b/>
            <sz val="10"/>
            <color indexed="81"/>
            <rFont val="細明體"/>
            <family val="3"/>
            <charset val="136"/>
          </rPr>
          <t>堆高機</t>
        </r>
        <r>
          <rPr>
            <b/>
            <sz val="10"/>
            <color indexed="81"/>
            <rFont val="Tahoma"/>
            <family val="2"/>
          </rPr>
          <t>@</t>
        </r>
        <r>
          <rPr>
            <b/>
            <sz val="10"/>
            <color indexed="81"/>
            <rFont val="細明體"/>
            <family val="3"/>
            <charset val="136"/>
          </rPr>
          <t>寶山鄉創新一路</t>
        </r>
        <r>
          <rPr>
            <b/>
            <sz val="10"/>
            <color indexed="81"/>
            <rFont val="Tahoma"/>
            <family val="2"/>
          </rPr>
          <t>1-1</t>
        </r>
        <r>
          <rPr>
            <b/>
            <sz val="10"/>
            <color indexed="81"/>
            <rFont val="細明體"/>
            <family val="3"/>
            <charset val="136"/>
          </rPr>
          <t>號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M341" authorId="0" shapeId="0" xr:uid="{00000000-0006-0000-0500-00005E000000}">
      <text>
        <r>
          <rPr>
            <b/>
            <sz val="10"/>
            <color indexed="81"/>
            <rFont val="細明體"/>
            <family val="3"/>
            <charset val="136"/>
          </rPr>
          <t>堆高機@大村鄉旗田巷</t>
        </r>
        <r>
          <rPr>
            <b/>
            <sz val="10"/>
            <color indexed="81"/>
            <rFont val="Tahoma"/>
            <family val="2"/>
          </rPr>
          <t>87</t>
        </r>
        <r>
          <rPr>
            <b/>
            <sz val="10"/>
            <color indexed="81"/>
            <rFont val="細明體"/>
            <family val="3"/>
            <charset val="136"/>
          </rPr>
          <t>號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I342" authorId="2" shapeId="0" xr:uid="{00000000-0006-0000-0500-00005F000000}">
      <text>
        <r>
          <rPr>
            <b/>
            <sz val="10"/>
            <color indexed="81"/>
            <rFont val="細明體"/>
            <family val="3"/>
            <charset val="136"/>
          </rPr>
          <t>換車
全新電瓶</t>
        </r>
      </text>
    </comment>
    <comment ref="J342" authorId="2" shapeId="0" xr:uid="{00000000-0006-0000-0500-000060000000}">
      <text>
        <r>
          <rPr>
            <b/>
            <sz val="10"/>
            <color indexed="81"/>
            <rFont val="細明體"/>
            <family val="3"/>
            <charset val="136"/>
          </rPr>
          <t>此為交易日，前車維修期間已將此車替代使用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L343" authorId="0" shapeId="0" xr:uid="{00000000-0006-0000-0500-000061000000}">
      <text>
        <r>
          <rPr>
            <sz val="11"/>
            <color indexed="81"/>
            <rFont val="細明體"/>
            <family val="3"/>
            <charset val="136"/>
          </rPr>
          <t>換拱，原高度3000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L345" authorId="0" shapeId="0" xr:uid="{00000000-0006-0000-0500-000062000000}">
      <text>
        <r>
          <rPr>
            <sz val="11"/>
            <color indexed="81"/>
            <rFont val="細明體"/>
            <family val="3"/>
            <charset val="136"/>
          </rPr>
          <t>換拱，原高度4500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M345" authorId="0" shapeId="0" xr:uid="{00000000-0006-0000-0500-000063000000}">
      <text>
        <r>
          <rPr>
            <b/>
            <sz val="10"/>
            <color indexed="81"/>
            <rFont val="細明體"/>
            <family val="3"/>
            <charset val="136"/>
          </rPr>
          <t>台南市安南區北汕尾三路</t>
        </r>
        <r>
          <rPr>
            <b/>
            <sz val="10"/>
            <color indexed="81"/>
            <rFont val="Tahoma"/>
            <family val="2"/>
          </rPr>
          <t>628</t>
        </r>
        <r>
          <rPr>
            <b/>
            <sz val="10"/>
            <color indexed="81"/>
            <rFont val="細明體"/>
            <family val="3"/>
            <charset val="136"/>
          </rPr>
          <t>號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M348" authorId="0" shapeId="0" xr:uid="{00000000-0006-0000-0500-000064000000}">
      <text>
        <r>
          <rPr>
            <b/>
            <sz val="10"/>
            <color indexed="81"/>
            <rFont val="Tahoma"/>
            <family val="2"/>
          </rPr>
          <t>@</t>
        </r>
        <r>
          <rPr>
            <b/>
            <sz val="10"/>
            <color indexed="81"/>
            <rFont val="細明體"/>
            <family val="3"/>
            <charset val="136"/>
          </rPr>
          <t>本廠對面</t>
        </r>
      </text>
    </comment>
    <comment ref="L351" authorId="0" shapeId="0" xr:uid="{00000000-0006-0000-0500-000065000000}">
      <text>
        <r>
          <rPr>
            <sz val="11"/>
            <color indexed="81"/>
            <rFont val="細明體"/>
            <family val="3"/>
            <charset val="136"/>
          </rPr>
          <t>換拱，原高度3000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I356" authorId="0" shapeId="0" xr:uid="{00000000-0006-0000-0500-000066000000}">
      <text>
        <r>
          <rPr>
            <sz val="11"/>
            <color indexed="81"/>
            <rFont val="細明體"/>
            <family val="3"/>
            <charset val="136"/>
          </rPr>
          <t>換車加價購</t>
        </r>
      </text>
    </comment>
    <comment ref="L357" authorId="0" shapeId="0" xr:uid="{00000000-0006-0000-0500-000067000000}">
      <text>
        <r>
          <rPr>
            <sz val="12"/>
            <color indexed="81"/>
            <rFont val="細明體"/>
            <family val="3"/>
            <charset val="136"/>
          </rPr>
          <t>換拱三截5米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66" authorId="0" shapeId="0" xr:uid="{00000000-0006-0000-0500-000068000000}">
      <text>
        <r>
          <rPr>
            <b/>
            <sz val="12"/>
            <color indexed="81"/>
            <rFont val="Tahoma"/>
            <family val="2"/>
          </rPr>
          <t>NO.414</t>
        </r>
        <r>
          <rPr>
            <b/>
            <sz val="12"/>
            <color indexed="81"/>
            <rFont val="細明體"/>
            <family val="3"/>
            <charset val="136"/>
          </rPr>
          <t>退回換車</t>
        </r>
      </text>
    </comment>
    <comment ref="I381" authorId="0" shapeId="0" xr:uid="{00000000-0006-0000-0500-000069000000}">
      <text>
        <r>
          <rPr>
            <b/>
            <sz val="11"/>
            <color indexed="81"/>
            <rFont val="細明體"/>
            <family val="3"/>
            <charset val="136"/>
          </rPr>
          <t>換車修改+7萬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F382" authorId="0" shapeId="0" xr:uid="{00000000-0006-0000-0500-00006A000000}">
      <text>
        <r>
          <rPr>
            <b/>
            <sz val="10"/>
            <color indexed="28"/>
            <rFont val="新細明體"/>
            <family val="1"/>
            <charset val="136"/>
          </rPr>
          <t>已換牌為NO.527 7FBR15-55560
因客戶需求為2014年</t>
        </r>
      </text>
    </comment>
    <comment ref="M388" authorId="0" shapeId="0" xr:uid="{00000000-0006-0000-0500-00006B000000}">
      <text>
        <r>
          <rPr>
            <b/>
            <sz val="12"/>
            <color indexed="81"/>
            <rFont val="細明體"/>
            <family val="3"/>
            <charset val="136"/>
          </rPr>
          <t>新松倉庫</t>
        </r>
        <r>
          <rPr>
            <b/>
            <sz val="12"/>
            <color indexed="81"/>
            <rFont val="Tahoma"/>
            <family val="2"/>
          </rPr>
          <t>@</t>
        </r>
        <r>
          <rPr>
            <b/>
            <sz val="12"/>
            <color indexed="81"/>
            <rFont val="細明體"/>
            <family val="3"/>
            <charset val="136"/>
          </rPr>
          <t>高雄市大寮區上寮路</t>
        </r>
        <r>
          <rPr>
            <b/>
            <sz val="12"/>
            <color indexed="81"/>
            <rFont val="Tahoma"/>
            <family val="2"/>
          </rPr>
          <t>225-69</t>
        </r>
        <r>
          <rPr>
            <b/>
            <sz val="12"/>
            <color indexed="81"/>
            <rFont val="細明體"/>
            <family val="3"/>
            <charset val="136"/>
          </rPr>
          <t>號</t>
        </r>
        <r>
          <rPr>
            <sz val="12"/>
            <color indexed="81"/>
            <rFont val="Tahoma"/>
            <family val="2"/>
          </rPr>
          <t xml:space="preserve">
</t>
        </r>
      </text>
    </comment>
    <comment ref="J389" authorId="0" shapeId="0" xr:uid="{00000000-0006-0000-0500-00006C000000}">
      <text>
        <r>
          <rPr>
            <sz val="12"/>
            <color indexed="81"/>
            <rFont val="Tahoma"/>
            <family val="2"/>
          </rPr>
          <t>113.5/29</t>
        </r>
        <r>
          <rPr>
            <sz val="12"/>
            <color indexed="81"/>
            <rFont val="細明體"/>
            <family val="3"/>
            <charset val="136"/>
          </rPr>
          <t>售華田114.02取回換車</t>
        </r>
        <r>
          <rPr>
            <sz val="12"/>
            <color indexed="81"/>
            <rFont val="Tahoma"/>
            <family val="2"/>
          </rPr>
          <t xml:space="preserve">
4/29</t>
        </r>
        <r>
          <rPr>
            <sz val="12"/>
            <color indexed="81"/>
            <rFont val="細明體"/>
            <family val="3"/>
            <charset val="136"/>
          </rPr>
          <t>給辰光</t>
        </r>
      </text>
    </comment>
    <comment ref="L390" authorId="2" shapeId="0" xr:uid="{00000000-0006-0000-0500-00006D000000}">
      <text>
        <r>
          <rPr>
            <sz val="10"/>
            <color indexed="81"/>
            <rFont val="細明體"/>
            <family val="3"/>
            <charset val="136"/>
          </rPr>
          <t>原拱</t>
        </r>
        <r>
          <rPr>
            <sz val="10"/>
            <color indexed="81"/>
            <rFont val="Tahoma"/>
            <family val="2"/>
          </rPr>
          <t>4500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92" authorId="2" shapeId="0" xr:uid="{00000000-0006-0000-0500-00006E000000}">
      <text>
        <r>
          <rPr>
            <sz val="10"/>
            <color indexed="81"/>
            <rFont val="細明體"/>
            <family val="3"/>
            <charset val="136"/>
          </rPr>
          <t>原拱</t>
        </r>
        <r>
          <rPr>
            <sz val="10"/>
            <color indexed="81"/>
            <rFont val="Tahoma"/>
            <family val="2"/>
          </rPr>
          <t>3500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96" authorId="2" shapeId="0" xr:uid="{00000000-0006-0000-0500-00006F000000}">
      <text>
        <r>
          <rPr>
            <b/>
            <sz val="10"/>
            <color indexed="81"/>
            <rFont val="細明體"/>
            <family val="3"/>
            <charset val="136"/>
          </rPr>
          <t>出租轉購買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細明體"/>
            <family val="3"/>
            <charset val="136"/>
          </rPr>
          <t>彰化市聖安路937-15號</t>
        </r>
      </text>
    </comment>
    <comment ref="L397" authorId="2" shapeId="0" xr:uid="{00000000-0006-0000-0500-000070000000}">
      <text>
        <r>
          <rPr>
            <sz val="10"/>
            <color indexed="81"/>
            <rFont val="細明體"/>
            <family val="3"/>
            <charset val="136"/>
          </rPr>
          <t>原拱</t>
        </r>
        <r>
          <rPr>
            <sz val="10"/>
            <color indexed="81"/>
            <rFont val="Tahoma"/>
            <family val="2"/>
          </rPr>
          <t>4700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02" authorId="2" shapeId="0" xr:uid="{00000000-0006-0000-0500-000071000000}">
      <text>
        <r>
          <rPr>
            <b/>
            <sz val="10"/>
            <color indexed="81"/>
            <rFont val="細明體"/>
            <family val="3"/>
            <charset val="136"/>
          </rPr>
          <t>台中市南屯區龍富路三段</t>
        </r>
        <r>
          <rPr>
            <b/>
            <sz val="10"/>
            <color indexed="81"/>
            <rFont val="Tahoma"/>
            <family val="2"/>
          </rPr>
          <t>663</t>
        </r>
        <r>
          <rPr>
            <b/>
            <sz val="10"/>
            <color indexed="81"/>
            <rFont val="細明體"/>
            <family val="3"/>
            <charset val="136"/>
          </rPr>
          <t>號</t>
        </r>
      </text>
    </comment>
    <comment ref="I404" authorId="2" shapeId="0" xr:uid="{00000000-0006-0000-0500-000072000000}">
      <text>
        <r>
          <rPr>
            <sz val="12"/>
            <color indexed="81"/>
            <rFont val="細明體"/>
            <family val="3"/>
            <charset val="136"/>
          </rPr>
          <t>換車.取回NO.482售18萬 補差額4萬</t>
        </r>
      </text>
    </comment>
    <comment ref="L411" authorId="2" shapeId="0" xr:uid="{00000000-0006-0000-0500-000073000000}">
      <text>
        <r>
          <rPr>
            <sz val="10"/>
            <color indexed="81"/>
            <rFont val="細明體"/>
            <family val="3"/>
            <charset val="136"/>
          </rPr>
          <t>原拱</t>
        </r>
        <r>
          <rPr>
            <sz val="10"/>
            <color indexed="81"/>
            <rFont val="Tahoma"/>
            <family val="2"/>
          </rPr>
          <t>5500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13" authorId="2" shapeId="0" xr:uid="{00000000-0006-0000-0500-000074000000}">
      <text>
        <r>
          <rPr>
            <b/>
            <sz val="10"/>
            <color indexed="81"/>
            <rFont val="細明體"/>
            <family val="3"/>
            <charset val="136"/>
          </rPr>
          <t>借車後轉出售</t>
        </r>
      </text>
    </comment>
    <comment ref="M415" authorId="2" shapeId="0" xr:uid="{00000000-0006-0000-0500-000075000000}">
      <text>
        <r>
          <rPr>
            <b/>
            <sz val="10"/>
            <color indexed="81"/>
            <rFont val="細明體"/>
            <family val="3"/>
            <charset val="136"/>
          </rPr>
          <t>堆高機＠歸仁區西浦三街</t>
        </r>
        <r>
          <rPr>
            <b/>
            <sz val="10"/>
            <color indexed="81"/>
            <rFont val="Tahoma"/>
            <family val="2"/>
          </rPr>
          <t>51</t>
        </r>
        <r>
          <rPr>
            <b/>
            <sz val="10"/>
            <color indexed="81"/>
            <rFont val="細明體"/>
            <family val="3"/>
            <charset val="136"/>
          </rPr>
          <t>巷</t>
        </r>
        <r>
          <rPr>
            <b/>
            <sz val="10"/>
            <color indexed="81"/>
            <rFont val="Tahoma"/>
            <family val="2"/>
          </rPr>
          <t>126</t>
        </r>
        <r>
          <rPr>
            <b/>
            <sz val="10"/>
            <color indexed="81"/>
            <rFont val="細明體"/>
            <family val="3"/>
            <charset val="136"/>
          </rPr>
          <t>號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TIGER-XP</author>
    <author>USER</author>
  </authors>
  <commentList>
    <comment ref="I4" authorId="0" shapeId="0" xr:uid="{00000000-0006-0000-0700-000001000000}">
      <text>
        <r>
          <rPr>
            <sz val="14"/>
            <color indexed="20"/>
            <rFont val="標楷體"/>
            <family val="4"/>
            <charset val="136"/>
          </rPr>
          <t>無電池和牙叉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F25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永臣原</t>
        </r>
        <r>
          <rPr>
            <sz val="12"/>
            <color indexed="81"/>
            <rFont val="Tahoma"/>
            <family val="2"/>
          </rPr>
          <t>NO.90</t>
        </r>
        <r>
          <rPr>
            <sz val="12"/>
            <color indexed="81"/>
            <rFont val="細明體"/>
            <family val="3"/>
            <charset val="136"/>
          </rPr>
          <t xml:space="preserve">換車
</t>
        </r>
        <r>
          <rPr>
            <sz val="12"/>
            <color indexed="81"/>
            <rFont val="Tahoma"/>
            <family val="2"/>
          </rPr>
          <t>5/21</t>
        </r>
        <r>
          <rPr>
            <sz val="12"/>
            <color indexed="81"/>
            <rFont val="細明體"/>
            <family val="3"/>
            <charset val="136"/>
          </rPr>
          <t xml:space="preserve">運至永臣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7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106.06.16</t>
        </r>
        <r>
          <rPr>
            <b/>
            <sz val="9"/>
            <color indexed="81"/>
            <rFont val="細明體"/>
            <family val="3"/>
            <charset val="136"/>
          </rPr>
          <t>出林口-退回</t>
        </r>
      </text>
    </comment>
    <comment ref="F9" authorId="0" shapeId="0" xr:uid="{00000000-0006-0000-0800-000002000000}">
      <text>
        <r>
          <rPr>
            <b/>
            <sz val="12"/>
            <color indexed="81"/>
            <rFont val="Tahoma"/>
            <family val="2"/>
          </rPr>
          <t>106.07.21</t>
        </r>
        <r>
          <rPr>
            <b/>
            <sz val="12"/>
            <color indexed="81"/>
            <rFont val="細明體"/>
            <family val="3"/>
            <charset val="136"/>
          </rPr>
          <t>到貨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104/09/25</t>
        </r>
        <r>
          <rPr>
            <b/>
            <sz val="9"/>
            <color indexed="81"/>
            <rFont val="細明體"/>
            <family val="3"/>
            <charset val="136"/>
          </rPr>
          <t xml:space="preserve">阿貴后里載回
</t>
        </r>
      </text>
    </comment>
    <comment ref="J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105.06.15</t>
        </r>
        <r>
          <rPr>
            <b/>
            <sz val="9"/>
            <color indexed="81"/>
            <rFont val="細明體"/>
            <family val="3"/>
            <charset val="136"/>
          </rPr>
          <t>成龍退租</t>
        </r>
      </text>
    </comment>
    <comment ref="J12" authorId="0" shapeId="0" xr:uid="{00000000-0006-0000-0900-000003000000}">
      <text>
        <r>
          <rPr>
            <b/>
            <sz val="12"/>
            <color indexed="81"/>
            <rFont val="Tahoma"/>
            <family val="2"/>
          </rPr>
          <t>106.08.01</t>
        </r>
        <r>
          <rPr>
            <b/>
            <sz val="12"/>
            <color indexed="81"/>
            <rFont val="細明體"/>
            <family val="3"/>
            <charset val="136"/>
          </rPr>
          <t>阿海吊去慶豐富
106.08.14從慶豐富回來，換217過去
106.08.23阿源吊去慶豐富，217回來
106.10.31原3個月一租，改1年1租</t>
        </r>
      </text>
    </comment>
    <comment ref="E13" authorId="0" shapeId="0" xr:uid="{00000000-0006-0000-0900-000004000000}">
      <text>
        <r>
          <rPr>
            <b/>
            <sz val="18"/>
            <color indexed="81"/>
            <rFont val="Tahoma"/>
            <family val="2"/>
          </rPr>
          <t>TD04023B</t>
        </r>
      </text>
    </comment>
    <comment ref="E14" authorId="0" shapeId="0" xr:uid="{00000000-0006-0000-0900-000005000000}">
      <text>
        <r>
          <rPr>
            <b/>
            <sz val="18"/>
            <color indexed="81"/>
            <rFont val="Tahoma"/>
            <family val="2"/>
          </rPr>
          <t>TD04023B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106.07.24</t>
        </r>
        <r>
          <rPr>
            <b/>
            <sz val="9"/>
            <color indexed="81"/>
            <rFont val="細明體"/>
            <family val="3"/>
            <charset val="136"/>
          </rPr>
          <t xml:space="preserve">從進裕拖回
</t>
        </r>
      </text>
    </comment>
    <comment ref="M25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21*8-9 103/142-6(19)</t>
        </r>
        <r>
          <rPr>
            <b/>
            <sz val="9"/>
            <color indexed="81"/>
            <rFont val="細明體"/>
            <family val="3"/>
            <charset val="136"/>
          </rPr>
          <t>孔</t>
        </r>
        <r>
          <rPr>
            <b/>
            <sz val="9"/>
            <color indexed="81"/>
            <rFont val="Tahoma"/>
            <family val="2"/>
          </rPr>
          <t>18*7-8 103/138-8</t>
        </r>
        <r>
          <rPr>
            <b/>
            <sz val="9"/>
            <color indexed="81"/>
            <rFont val="細明體"/>
            <family val="3"/>
            <charset val="136"/>
          </rPr>
          <t>孔</t>
        </r>
      </text>
    </comment>
    <comment ref="J27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106.08.23</t>
        </r>
        <r>
          <rPr>
            <b/>
            <sz val="9"/>
            <color indexed="81"/>
            <rFont val="細明體"/>
            <family val="3"/>
            <charset val="136"/>
          </rPr>
          <t>拖去小曾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拖回</t>
        </r>
        <r>
          <rPr>
            <b/>
            <sz val="9"/>
            <color indexed="81"/>
            <rFont val="Tahoma"/>
            <family val="2"/>
          </rPr>
          <t>206
106.11.16</t>
        </r>
        <r>
          <rPr>
            <b/>
            <sz val="9"/>
            <color indexed="81"/>
            <rFont val="細明體"/>
            <family val="3"/>
            <charset val="136"/>
          </rPr>
          <t>從小曾拖回~~不租</t>
        </r>
      </text>
    </comment>
    <comment ref="J28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106.11.18</t>
        </r>
        <r>
          <rPr>
            <b/>
            <sz val="9"/>
            <color indexed="81"/>
            <rFont val="細明體"/>
            <family val="3"/>
            <charset val="136"/>
          </rPr>
          <t>換</t>
        </r>
        <r>
          <rPr>
            <b/>
            <sz val="9"/>
            <color indexed="81"/>
            <rFont val="Tahoma"/>
            <family val="2"/>
          </rPr>
          <t>NO.241</t>
        </r>
        <r>
          <rPr>
            <b/>
            <sz val="9"/>
            <color indexed="81"/>
            <rFont val="細明體"/>
            <family val="3"/>
            <charset val="136"/>
          </rPr>
          <t>回來</t>
        </r>
      </text>
    </comment>
  </commentList>
</comments>
</file>

<file path=xl/sharedStrings.xml><?xml version="1.0" encoding="utf-8"?>
<sst xmlns="http://schemas.openxmlformats.org/spreadsheetml/2006/main" count="6701" uniqueCount="3209">
  <si>
    <t>堆   高   機   存    貨    、    租    賃    明    細</t>
    <phoneticPr fontId="2" type="noConversion"/>
  </si>
  <si>
    <t>NO</t>
    <phoneticPr fontId="2" type="noConversion"/>
  </si>
  <si>
    <t>廠商</t>
    <phoneticPr fontId="2" type="noConversion"/>
  </si>
  <si>
    <t>單  價</t>
    <phoneticPr fontId="2" type="noConversion"/>
  </si>
  <si>
    <t>狀  況</t>
    <phoneticPr fontId="2" type="noConversion"/>
  </si>
  <si>
    <t>噸數</t>
    <phoneticPr fontId="2" type="noConversion"/>
  </si>
  <si>
    <t>揚高</t>
    <phoneticPr fontId="2" type="noConversion"/>
  </si>
  <si>
    <t>備  註</t>
    <phoneticPr fontId="2" type="noConversion"/>
  </si>
  <si>
    <t>雙霖</t>
    <phoneticPr fontId="2" type="noConversion"/>
  </si>
  <si>
    <t>座式柴油</t>
    <phoneticPr fontId="2" type="noConversion"/>
  </si>
  <si>
    <t>沒報單</t>
    <phoneticPr fontId="2" type="noConversion"/>
  </si>
  <si>
    <t>立式電動</t>
    <phoneticPr fontId="2" type="noConversion"/>
  </si>
  <si>
    <t>99.08.05</t>
    <phoneticPr fontId="2" type="noConversion"/>
  </si>
  <si>
    <t>利慶</t>
    <phoneticPr fontId="2" type="noConversion"/>
  </si>
  <si>
    <t>座式電動</t>
    <phoneticPr fontId="2" type="noConversion"/>
  </si>
  <si>
    <t>99.11.12</t>
    <phoneticPr fontId="2" type="noConversion"/>
  </si>
  <si>
    <t>BT</t>
    <phoneticPr fontId="2" type="noConversion"/>
  </si>
  <si>
    <t>BT  110V</t>
    <phoneticPr fontId="2" type="noConversion"/>
  </si>
  <si>
    <t>來永</t>
    <phoneticPr fontId="2" type="noConversion"/>
  </si>
  <si>
    <t>拖板車</t>
    <phoneticPr fontId="2" type="noConversion"/>
  </si>
  <si>
    <t>托板車</t>
    <phoneticPr fontId="2" type="noConversion"/>
  </si>
  <si>
    <t>99.12.13</t>
    <phoneticPr fontId="2" type="noConversion"/>
  </si>
  <si>
    <t>耀總</t>
    <phoneticPr fontId="2" type="noConversion"/>
  </si>
  <si>
    <t>托板車（ST）</t>
    <phoneticPr fontId="2" type="noConversion"/>
  </si>
  <si>
    <t>100.05.17</t>
    <phoneticPr fontId="2" type="noConversion"/>
  </si>
  <si>
    <t>左右側移</t>
    <phoneticPr fontId="2" type="noConversion"/>
  </si>
  <si>
    <t>100.06.15</t>
    <phoneticPr fontId="2" type="noConversion"/>
  </si>
  <si>
    <t>101.03.20</t>
    <phoneticPr fontId="2" type="noConversion"/>
  </si>
  <si>
    <t>101.05.08</t>
    <phoneticPr fontId="2" type="noConversion"/>
  </si>
  <si>
    <t>平夾                                      2007年01月</t>
    <phoneticPr fontId="2" type="noConversion"/>
  </si>
  <si>
    <t>大潤發忠明店</t>
    <phoneticPr fontId="2" type="noConversion"/>
  </si>
  <si>
    <t>恆智-舊型</t>
    <phoneticPr fontId="2" type="noConversion"/>
  </si>
  <si>
    <t>半電動堆高機</t>
    <phoneticPr fontId="2" type="noConversion"/>
  </si>
  <si>
    <t>伸聯</t>
    <phoneticPr fontId="2" type="noConversion"/>
  </si>
  <si>
    <t>客戶</t>
    <phoneticPr fontId="2" type="noConversion"/>
  </si>
  <si>
    <t>售   價</t>
    <phoneticPr fontId="2" type="noConversion"/>
  </si>
  <si>
    <t>出 售 日 期</t>
    <phoneticPr fontId="2" type="noConversion"/>
  </si>
  <si>
    <t>欣懋</t>
    <phoneticPr fontId="2" type="noConversion"/>
  </si>
  <si>
    <t>100/03/15</t>
    <phoneticPr fontId="2" type="noConversion"/>
  </si>
  <si>
    <t>含電池更新</t>
  </si>
  <si>
    <t>業碩</t>
    <phoneticPr fontId="2" type="noConversion"/>
  </si>
  <si>
    <t xml:space="preserve">100/05/12出售             </t>
    <phoneticPr fontId="2" type="noConversion"/>
  </si>
  <si>
    <t>大久</t>
    <phoneticPr fontId="2" type="noConversion"/>
  </si>
  <si>
    <t xml:space="preserve">100/08/26出售              </t>
    <phoneticPr fontId="2" type="noConversion"/>
  </si>
  <si>
    <t>雷歐</t>
    <phoneticPr fontId="2" type="noConversion"/>
  </si>
  <si>
    <t>100.09.29</t>
    <phoneticPr fontId="2" type="noConversion"/>
  </si>
  <si>
    <t xml:space="preserve">100/11/19出售            </t>
    <phoneticPr fontId="2" type="noConversion"/>
  </si>
  <si>
    <t>雷歐加配重至2.0T</t>
    <phoneticPr fontId="2" type="noConversion"/>
  </si>
  <si>
    <t>100.11.18</t>
    <phoneticPr fontId="2" type="noConversion"/>
  </si>
  <si>
    <t>弘原自加配重至1.8T</t>
    <phoneticPr fontId="2" type="noConversion"/>
  </si>
  <si>
    <t>展暉</t>
    <phoneticPr fontId="2" type="noConversion"/>
  </si>
  <si>
    <t xml:space="preserve">101/02/02出售             </t>
    <phoneticPr fontId="2" type="noConversion"/>
  </si>
  <si>
    <t>三截貨櫃型</t>
    <phoneticPr fontId="2" type="noConversion"/>
  </si>
  <si>
    <t>凱蕯克</t>
    <phoneticPr fontId="2" type="noConversion"/>
  </si>
  <si>
    <t>雙星</t>
    <phoneticPr fontId="2" type="noConversion"/>
  </si>
  <si>
    <t>統榮</t>
    <phoneticPr fontId="2" type="noConversion"/>
  </si>
  <si>
    <t>手動堆高機</t>
    <phoneticPr fontId="2" type="noConversion"/>
  </si>
  <si>
    <t>100.10.20</t>
    <phoneticPr fontId="2" type="noConversion"/>
  </si>
  <si>
    <t>101/04/24出售                (工商自動化展)</t>
    <phoneticPr fontId="2" type="noConversion"/>
  </si>
  <si>
    <t>永聲</t>
    <phoneticPr fontId="2" type="noConversion"/>
  </si>
  <si>
    <t>傑鼎</t>
    <phoneticPr fontId="2" type="noConversion"/>
  </si>
  <si>
    <t>100.10.21</t>
    <phoneticPr fontId="2" type="noConversion"/>
  </si>
  <si>
    <t xml:space="preserve">101/05/28出售              </t>
    <phoneticPr fontId="2" type="noConversion"/>
  </si>
  <si>
    <t>銳鑫</t>
    <phoneticPr fontId="2" type="noConversion"/>
  </si>
  <si>
    <t>101.04.02</t>
    <phoneticPr fontId="2" type="noConversion"/>
  </si>
  <si>
    <t xml:space="preserve">101/07/17出售             </t>
    <phoneticPr fontId="2" type="noConversion"/>
  </si>
  <si>
    <t>贈送牙套 長：1220mm                   Model:V015Y430</t>
    <phoneticPr fontId="2" type="noConversion"/>
  </si>
  <si>
    <t>勝廣</t>
    <phoneticPr fontId="2" type="noConversion"/>
  </si>
  <si>
    <t xml:space="preserve">101/07/27出售               </t>
    <phoneticPr fontId="2" type="noConversion"/>
  </si>
  <si>
    <t xml:space="preserve"> 2002/4月</t>
    <phoneticPr fontId="2" type="noConversion"/>
  </si>
  <si>
    <t>源順</t>
    <phoneticPr fontId="2" type="noConversion"/>
  </si>
  <si>
    <t xml:space="preserve">101/09/04出售          </t>
    <phoneticPr fontId="2" type="noConversion"/>
  </si>
  <si>
    <t>沒報單，自製</t>
    <phoneticPr fontId="2" type="noConversion"/>
  </si>
  <si>
    <t>莎特</t>
    <phoneticPr fontId="2" type="noConversion"/>
  </si>
  <si>
    <t>101/10/24出售        （億生介紹）</t>
    <phoneticPr fontId="2" type="noConversion"/>
  </si>
  <si>
    <t>浚陽</t>
    <phoneticPr fontId="2" type="noConversion"/>
  </si>
  <si>
    <t xml:space="preserve">102/01/18出售           </t>
    <phoneticPr fontId="2" type="noConversion"/>
  </si>
  <si>
    <t xml:space="preserve">1.5T  3,000mm            </t>
    <phoneticPr fontId="2" type="noConversion"/>
  </si>
  <si>
    <t>仙台</t>
    <phoneticPr fontId="2" type="noConversion"/>
  </si>
  <si>
    <t xml:space="preserve">102/05/17出售          </t>
    <phoneticPr fontId="2" type="noConversion"/>
  </si>
  <si>
    <t>昌祥肉品</t>
    <phoneticPr fontId="2" type="noConversion"/>
  </si>
  <si>
    <t xml:space="preserve">102/05/10出售          </t>
    <phoneticPr fontId="2" type="noConversion"/>
  </si>
  <si>
    <t>鑄盛</t>
    <phoneticPr fontId="2" type="noConversion"/>
  </si>
  <si>
    <t xml:space="preserve">102/06/21出售          </t>
    <phoneticPr fontId="2" type="noConversion"/>
  </si>
  <si>
    <t xml:space="preserve"> 2004/06   24V         </t>
    <phoneticPr fontId="2" type="noConversion"/>
  </si>
  <si>
    <t>昆揚</t>
    <phoneticPr fontId="2" type="noConversion"/>
  </si>
  <si>
    <t>BT  LPE200/8-915948</t>
    <phoneticPr fontId="2" type="noConversion"/>
  </si>
  <si>
    <t>101.12.11</t>
    <phoneticPr fontId="2" type="noConversion"/>
  </si>
  <si>
    <t>101.12.22</t>
    <phoneticPr fontId="2" type="noConversion"/>
  </si>
  <si>
    <t>102.05.07</t>
    <phoneticPr fontId="2" type="noConversion"/>
  </si>
  <si>
    <t>堆   高   機   售    出    明    細</t>
    <phoneticPr fontId="2" type="noConversion"/>
  </si>
  <si>
    <t xml:space="preserve">102/06/05出售 </t>
    <phoneticPr fontId="2" type="noConversion"/>
  </si>
  <si>
    <t xml:space="preserve">102/07/15出售          </t>
    <phoneticPr fontId="2" type="noConversion"/>
  </si>
  <si>
    <t>通成</t>
    <phoneticPr fontId="2" type="noConversion"/>
  </si>
  <si>
    <t>102/07/17出售</t>
    <phoneticPr fontId="2" type="noConversion"/>
  </si>
  <si>
    <t>102/07/18出售</t>
    <phoneticPr fontId="2" type="noConversion"/>
  </si>
  <si>
    <t xml:space="preserve">1996年                                </t>
    <phoneticPr fontId="2" type="noConversion"/>
  </si>
  <si>
    <t>活力牌</t>
    <phoneticPr fontId="2" type="noConversion"/>
  </si>
  <si>
    <t xml:space="preserve">三截貨櫃型                           </t>
    <phoneticPr fontId="2" type="noConversion"/>
  </si>
  <si>
    <t>立石</t>
    <phoneticPr fontId="2" type="noConversion"/>
  </si>
  <si>
    <t>原揚高3M與NO.33更換                                            三截貨櫃型</t>
    <phoneticPr fontId="2" type="noConversion"/>
  </si>
  <si>
    <t>三截貨櫃</t>
    <phoneticPr fontId="2" type="noConversion"/>
  </si>
  <si>
    <t>廠牌</t>
    <phoneticPr fontId="2" type="noConversion"/>
  </si>
  <si>
    <t>TCM</t>
    <phoneticPr fontId="2" type="noConversion"/>
  </si>
  <si>
    <t>NYK</t>
    <phoneticPr fontId="2" type="noConversion"/>
  </si>
  <si>
    <t>TOYOTA</t>
    <phoneticPr fontId="2" type="noConversion"/>
  </si>
  <si>
    <t>聯昇揚</t>
    <phoneticPr fontId="2" type="noConversion"/>
  </si>
  <si>
    <t>FB15  48V</t>
    <phoneticPr fontId="2" type="noConversion"/>
  </si>
  <si>
    <t>KOMATSU</t>
    <phoneticPr fontId="2" type="noConversion"/>
  </si>
  <si>
    <t>6FBRS18-30040</t>
    <phoneticPr fontId="2" type="noConversion"/>
  </si>
  <si>
    <t>6FB20-10582（6FB25）</t>
    <phoneticPr fontId="2" type="noConversion"/>
  </si>
  <si>
    <t>大阪</t>
    <phoneticPr fontId="2" type="noConversion"/>
  </si>
  <si>
    <t>租期</t>
    <phoneticPr fontId="2" type="noConversion"/>
  </si>
  <si>
    <t>地點</t>
    <phoneticPr fontId="2" type="noConversion"/>
  </si>
  <si>
    <t>型     號</t>
    <phoneticPr fontId="2" type="noConversion"/>
  </si>
  <si>
    <t>座式電動  2.5噸</t>
    <phoneticPr fontId="2" type="noConversion"/>
  </si>
  <si>
    <t xml:space="preserve">6FBRS15-30678  </t>
    <phoneticPr fontId="2" type="noConversion"/>
  </si>
  <si>
    <t xml:space="preserve">FBRMAW75-75B  </t>
    <phoneticPr fontId="2" type="noConversion"/>
  </si>
  <si>
    <t xml:space="preserve">6FBR15-31615  </t>
    <phoneticPr fontId="2" type="noConversion"/>
  </si>
  <si>
    <t xml:space="preserve">6FBR10-10340  </t>
    <phoneticPr fontId="2" type="noConversion"/>
  </si>
  <si>
    <t xml:space="preserve">37A-7T7-3010  </t>
    <phoneticPr fontId="2" type="noConversion"/>
  </si>
  <si>
    <t xml:space="preserve">7FBR13-10454  </t>
    <phoneticPr fontId="2" type="noConversion"/>
  </si>
  <si>
    <t xml:space="preserve">5FB2010801  </t>
    <phoneticPr fontId="2" type="noConversion"/>
  </si>
  <si>
    <t xml:space="preserve">FBRAW15-60-131AB3830  </t>
    <phoneticPr fontId="2" type="noConversion"/>
  </si>
  <si>
    <t xml:space="preserve">6FBR15-30093  </t>
    <phoneticPr fontId="2" type="noConversion"/>
  </si>
  <si>
    <t>6FBR18-30072</t>
    <phoneticPr fontId="2" type="noConversion"/>
  </si>
  <si>
    <t xml:space="preserve">7FD35-16758   </t>
    <phoneticPr fontId="2" type="noConversion"/>
  </si>
  <si>
    <t>FB20PN-75B-400SF-241AC5237</t>
    <phoneticPr fontId="2" type="noConversion"/>
  </si>
  <si>
    <t>大豐環保</t>
    <phoneticPr fontId="2" type="noConversion"/>
  </si>
  <si>
    <t>成龍</t>
    <phoneticPr fontId="2" type="noConversion"/>
  </si>
  <si>
    <t xml:space="preserve">6FBR15-11513  </t>
    <phoneticPr fontId="2" type="noConversion"/>
  </si>
  <si>
    <t xml:space="preserve">7FBR14-10658  </t>
    <phoneticPr fontId="2" type="noConversion"/>
  </si>
  <si>
    <t>6FBRS15-31387</t>
    <phoneticPr fontId="2" type="noConversion"/>
  </si>
  <si>
    <t>三截貨櫃/1999年</t>
    <phoneticPr fontId="2" type="noConversion"/>
  </si>
  <si>
    <t>FB09RC-12  91807</t>
    <phoneticPr fontId="2" type="noConversion"/>
  </si>
  <si>
    <t>台勵福</t>
    <phoneticPr fontId="2" type="noConversion"/>
  </si>
  <si>
    <t>可加配重1.8T</t>
    <phoneticPr fontId="2" type="noConversion"/>
  </si>
  <si>
    <t>6FB14-10632  6FB18-10632</t>
    <phoneticPr fontId="2" type="noConversion"/>
  </si>
  <si>
    <t>穩正</t>
    <phoneticPr fontId="2" type="noConversion"/>
  </si>
  <si>
    <t>可洲</t>
    <phoneticPr fontId="2" type="noConversion"/>
  </si>
  <si>
    <t>102/11/18出售</t>
    <phoneticPr fontId="2" type="noConversion"/>
  </si>
  <si>
    <t>7FBR10-11824</t>
    <phoneticPr fontId="2" type="noConversion"/>
  </si>
  <si>
    <t>7FBRK10-10708</t>
    <phoneticPr fontId="2" type="noConversion"/>
  </si>
  <si>
    <t>7FBR10-10693</t>
    <phoneticPr fontId="2" type="noConversion"/>
  </si>
  <si>
    <t>6FBR13-30435</t>
    <phoneticPr fontId="2" type="noConversion"/>
  </si>
  <si>
    <t>6FBR15-30826</t>
    <phoneticPr fontId="2" type="noConversion"/>
  </si>
  <si>
    <t>型號</t>
    <phoneticPr fontId="2" type="noConversion"/>
  </si>
  <si>
    <t>2004/07</t>
    <phoneticPr fontId="2" type="noConversion"/>
  </si>
  <si>
    <t>2004/10</t>
    <phoneticPr fontId="2" type="noConversion"/>
  </si>
  <si>
    <t>2007/01</t>
    <phoneticPr fontId="2" type="noConversion"/>
  </si>
  <si>
    <t>原4M改3m /1997/09</t>
    <phoneticPr fontId="2" type="noConversion"/>
  </si>
  <si>
    <t>金允成</t>
    <phoneticPr fontId="2" type="noConversion"/>
  </si>
  <si>
    <t>電動拖板車</t>
    <phoneticPr fontId="2" type="noConversion"/>
  </si>
  <si>
    <t>102/11/09出售</t>
    <phoneticPr fontId="2" type="noConversion"/>
  </si>
  <si>
    <t>引麗</t>
    <phoneticPr fontId="2" type="noConversion"/>
  </si>
  <si>
    <t>102/11/14出售</t>
    <phoneticPr fontId="2" type="noConversion"/>
  </si>
  <si>
    <t>102/11/29出售</t>
    <phoneticPr fontId="2" type="noConversion"/>
  </si>
  <si>
    <t>75~76</t>
    <phoneticPr fontId="2" type="noConversion"/>
  </si>
  <si>
    <t>79~84</t>
    <phoneticPr fontId="2" type="noConversion"/>
  </si>
  <si>
    <t>進貨日期</t>
    <phoneticPr fontId="2" type="noConversion"/>
  </si>
  <si>
    <t>辰光</t>
    <phoneticPr fontId="2" type="noConversion"/>
  </si>
  <si>
    <t>102/12/19出售</t>
    <phoneticPr fontId="2" type="noConversion"/>
  </si>
  <si>
    <t>1998/06</t>
    <phoneticPr fontId="2" type="noConversion"/>
  </si>
  <si>
    <t>閔煒</t>
    <phoneticPr fontId="2" type="noConversion"/>
  </si>
  <si>
    <t>102/12/20出售</t>
    <phoneticPr fontId="2" type="noConversion"/>
  </si>
  <si>
    <t>FBRW15-75B 131AE0508</t>
    <phoneticPr fontId="2" type="noConversion"/>
  </si>
  <si>
    <t>水平紅外線、三截貨櫃/2003年</t>
    <phoneticPr fontId="2" type="noConversion"/>
  </si>
  <si>
    <t>48V</t>
    <phoneticPr fontId="2" type="noConversion"/>
  </si>
  <si>
    <t>102/12/30出售</t>
    <phoneticPr fontId="2" type="noConversion"/>
  </si>
  <si>
    <t>6FBRS15-30493</t>
    <phoneticPr fontId="2" type="noConversion"/>
  </si>
  <si>
    <t>戴安娜</t>
    <phoneticPr fontId="2" type="noConversion"/>
  </si>
  <si>
    <t>BT  220V</t>
    <phoneticPr fontId="2" type="noConversion"/>
  </si>
  <si>
    <t>103/01/10出售</t>
    <phoneticPr fontId="2" type="noConversion"/>
  </si>
  <si>
    <t>86~88</t>
    <phoneticPr fontId="2" type="noConversion"/>
  </si>
  <si>
    <t>6FBRS18-30382</t>
    <phoneticPr fontId="2" type="noConversion"/>
  </si>
  <si>
    <t>6FBRS15-10688</t>
    <phoneticPr fontId="2" type="noConversion"/>
  </si>
  <si>
    <t>FBRAW15-60B 131AB4116</t>
    <phoneticPr fontId="2" type="noConversion"/>
  </si>
  <si>
    <t>6FBR15-11041</t>
    <phoneticPr fontId="2" type="noConversion"/>
  </si>
  <si>
    <t>益銳</t>
    <phoneticPr fontId="2" type="noConversion"/>
  </si>
  <si>
    <t>103/01/05出售</t>
    <phoneticPr fontId="2" type="noConversion"/>
  </si>
  <si>
    <t>德技</t>
    <phoneticPr fontId="2" type="noConversion"/>
  </si>
  <si>
    <t>103/01/27出售</t>
    <phoneticPr fontId="2" type="noConversion"/>
  </si>
  <si>
    <t>LPE200-917490</t>
    <phoneticPr fontId="2" type="noConversion"/>
  </si>
  <si>
    <t>2010/11</t>
    <phoneticPr fontId="2" type="noConversion"/>
  </si>
  <si>
    <t>廣源</t>
    <phoneticPr fontId="2" type="noConversion"/>
  </si>
  <si>
    <t>改椲桿為6m</t>
    <phoneticPr fontId="2" type="noConversion"/>
  </si>
  <si>
    <t>鎧鈺</t>
    <phoneticPr fontId="2" type="noConversion"/>
  </si>
  <si>
    <t>103/03/24出售</t>
    <phoneticPr fontId="2" type="noConversion"/>
  </si>
  <si>
    <t xml:space="preserve">鈦郁 </t>
    <phoneticPr fontId="2" type="noConversion"/>
  </si>
  <si>
    <t xml:space="preserve">                                                   101.05.08</t>
    <phoneticPr fontId="2" type="noConversion"/>
  </si>
  <si>
    <t>103/03/27出售</t>
    <phoneticPr fontId="2" type="noConversion"/>
  </si>
  <si>
    <t>6FBRS15  30625</t>
    <phoneticPr fontId="2" type="noConversion"/>
  </si>
  <si>
    <t>FB15PN-60B  221AA3680</t>
    <phoneticPr fontId="2" type="noConversion"/>
  </si>
  <si>
    <t>103.03.28</t>
    <phoneticPr fontId="2" type="noConversion"/>
  </si>
  <si>
    <t>左右側移</t>
  </si>
  <si>
    <t>103/03/31出售</t>
    <phoneticPr fontId="2" type="noConversion"/>
  </si>
  <si>
    <t>7FBRK9-11697</t>
  </si>
  <si>
    <t>銘育</t>
    <phoneticPr fontId="2" type="noConversion"/>
  </si>
  <si>
    <t>103.04.09</t>
    <phoneticPr fontId="2" type="noConversion"/>
  </si>
  <si>
    <t xml:space="preserve">FBRAW15-63B-131AC3563  </t>
  </si>
  <si>
    <t>立式電動</t>
  </si>
  <si>
    <t>NYK</t>
  </si>
  <si>
    <t>路路安</t>
    <phoneticPr fontId="2" type="noConversion"/>
  </si>
  <si>
    <t>大阪</t>
  </si>
  <si>
    <t xml:space="preserve">TOYOTA </t>
    <phoneticPr fontId="2" type="noConversion"/>
  </si>
  <si>
    <t>6FBRS13      10063</t>
    <phoneticPr fontId="2" type="noConversion"/>
  </si>
  <si>
    <t>6FBRS13      10018</t>
    <phoneticPr fontId="2" type="noConversion"/>
  </si>
  <si>
    <t>7FD15     12093</t>
    <phoneticPr fontId="2" type="noConversion"/>
  </si>
  <si>
    <t>103.05.15</t>
    <phoneticPr fontId="2" type="noConversion"/>
  </si>
  <si>
    <t>FB15PN-65B  221AB2356</t>
    <phoneticPr fontId="2" type="noConversion"/>
  </si>
  <si>
    <t>4JG2FD25   引擊NO.J242715    製造NO.D20282</t>
    <phoneticPr fontId="2" type="noConversion"/>
  </si>
  <si>
    <t>99.10.29</t>
    <phoneticPr fontId="2" type="noConversion"/>
  </si>
  <si>
    <t xml:space="preserve">6FBRS15-30908  </t>
    <phoneticPr fontId="2" type="noConversion"/>
  </si>
  <si>
    <t>三菱</t>
    <phoneticPr fontId="2" type="noConversion"/>
  </si>
  <si>
    <t>103.06.27</t>
    <phoneticPr fontId="2" type="noConversion"/>
  </si>
  <si>
    <r>
      <t>6FBR15</t>
    </r>
    <r>
      <rPr>
        <sz val="12"/>
        <color indexed="8"/>
        <rFont val="新細明體"/>
        <family val="1"/>
        <charset val="136"/>
      </rPr>
      <t xml:space="preserve">-11770  </t>
    </r>
    <phoneticPr fontId="2" type="noConversion"/>
  </si>
  <si>
    <r>
      <t>座式</t>
    </r>
    <r>
      <rPr>
        <b/>
        <sz val="12"/>
        <rFont val="新細明體"/>
        <family val="1"/>
        <charset val="136"/>
      </rPr>
      <t>汽油</t>
    </r>
    <phoneticPr fontId="2" type="noConversion"/>
  </si>
  <si>
    <r>
      <t>42-6FG</t>
    </r>
    <r>
      <rPr>
        <sz val="12"/>
        <rFont val="新細明體"/>
        <family val="1"/>
        <charset val="136"/>
      </rPr>
      <t xml:space="preserve">20-16860  前四輪 </t>
    </r>
    <phoneticPr fontId="2" type="noConversion"/>
  </si>
  <si>
    <r>
      <t xml:space="preserve"> FD25T1     F18C74045 </t>
    </r>
    <r>
      <rPr>
        <sz val="12"/>
        <color indexed="36"/>
        <rFont val="新細明體"/>
        <family val="1"/>
        <charset val="136"/>
      </rPr>
      <t xml:space="preserve">  (全新)</t>
    </r>
    <phoneticPr fontId="2" type="noConversion"/>
  </si>
  <si>
    <r>
      <t xml:space="preserve">編號：33 ~ 39 向 "安 阜" 一次購買 </t>
    </r>
    <r>
      <rPr>
        <b/>
        <u/>
        <sz val="16"/>
        <color indexed="9"/>
        <rFont val="新細明體"/>
        <family val="1"/>
        <charset val="136"/>
      </rPr>
      <t>7 台</t>
    </r>
    <r>
      <rPr>
        <b/>
        <sz val="16"/>
        <color indexed="9"/>
        <rFont val="新細明體"/>
        <family val="1"/>
        <charset val="136"/>
      </rPr>
      <t>：＄ 650,000（未稅）</t>
    </r>
    <phoneticPr fontId="2" type="noConversion"/>
  </si>
  <si>
    <r>
      <t>6FBR</t>
    </r>
    <r>
      <rPr>
        <b/>
        <sz val="11"/>
        <color indexed="21"/>
        <rFont val="新細明體"/>
        <family val="1"/>
        <charset val="136"/>
      </rPr>
      <t>18</t>
    </r>
    <r>
      <rPr>
        <sz val="11"/>
        <color indexed="8"/>
        <rFont val="新細明體"/>
        <family val="1"/>
        <charset val="136"/>
      </rPr>
      <t xml:space="preserve">-30597  </t>
    </r>
    <phoneticPr fontId="2" type="noConversion"/>
  </si>
  <si>
    <r>
      <t>6FBR</t>
    </r>
    <r>
      <rPr>
        <b/>
        <sz val="11"/>
        <color indexed="21"/>
        <rFont val="新細明體"/>
        <family val="1"/>
        <charset val="136"/>
      </rPr>
      <t>15</t>
    </r>
    <r>
      <rPr>
        <sz val="11"/>
        <color indexed="8"/>
        <rFont val="新細明體"/>
        <family val="1"/>
        <charset val="136"/>
      </rPr>
      <t xml:space="preserve">-33991  </t>
    </r>
    <phoneticPr fontId="2" type="noConversion"/>
  </si>
  <si>
    <r>
      <t>FBRAW</t>
    </r>
    <r>
      <rPr>
        <b/>
        <sz val="11"/>
        <color indexed="8"/>
        <rFont val="新細明體"/>
        <family val="1"/>
        <charset val="136"/>
      </rPr>
      <t>15</t>
    </r>
    <r>
      <rPr>
        <sz val="11"/>
        <color indexed="8"/>
        <rFont val="新細明體"/>
        <family val="1"/>
        <charset val="136"/>
      </rPr>
      <t>-</t>
    </r>
    <r>
      <rPr>
        <b/>
        <sz val="11"/>
        <color indexed="8"/>
        <rFont val="新細明體"/>
        <family val="1"/>
        <charset val="136"/>
      </rPr>
      <t>63</t>
    </r>
    <r>
      <rPr>
        <sz val="11"/>
        <color indexed="8"/>
        <rFont val="新細明體"/>
        <family val="1"/>
        <charset val="136"/>
      </rPr>
      <t xml:space="preserve">-131AC4325  </t>
    </r>
    <phoneticPr fontId="2" type="noConversion"/>
  </si>
  <si>
    <r>
      <t>FBRM</t>
    </r>
    <r>
      <rPr>
        <b/>
        <sz val="11"/>
        <color indexed="8"/>
        <rFont val="新細明體"/>
        <family val="1"/>
        <charset val="136"/>
      </rPr>
      <t>10-70</t>
    </r>
    <r>
      <rPr>
        <sz val="11"/>
        <color indexed="8"/>
        <rFont val="新細明體"/>
        <family val="1"/>
        <charset val="136"/>
      </rPr>
      <t>-3000  121AC0635</t>
    </r>
    <phoneticPr fontId="2" type="noConversion"/>
  </si>
  <si>
    <r>
      <t>FBRM</t>
    </r>
    <r>
      <rPr>
        <b/>
        <sz val="11"/>
        <color indexed="8"/>
        <rFont val="新細明體"/>
        <family val="1"/>
        <charset val="136"/>
      </rPr>
      <t>13</t>
    </r>
    <r>
      <rPr>
        <sz val="11"/>
        <color indexed="8"/>
        <rFont val="新細明體"/>
        <family val="1"/>
        <charset val="136"/>
      </rPr>
      <t>-</t>
    </r>
    <r>
      <rPr>
        <b/>
        <sz val="11"/>
        <color indexed="8"/>
        <rFont val="新細明體"/>
        <family val="1"/>
        <charset val="136"/>
      </rPr>
      <t>75</t>
    </r>
    <r>
      <rPr>
        <sz val="11"/>
        <color indexed="8"/>
        <rFont val="新細明體"/>
        <family val="1"/>
        <charset val="136"/>
      </rPr>
      <t xml:space="preserve">-500 121AD1503 </t>
    </r>
    <phoneticPr fontId="2" type="noConversion"/>
  </si>
  <si>
    <r>
      <t>FBRAW</t>
    </r>
    <r>
      <rPr>
        <b/>
        <sz val="11"/>
        <color indexed="8"/>
        <rFont val="新細明體"/>
        <family val="1"/>
        <charset val="136"/>
      </rPr>
      <t>15</t>
    </r>
    <r>
      <rPr>
        <sz val="11"/>
        <color indexed="8"/>
        <rFont val="新細明體"/>
        <family val="1"/>
        <charset val="136"/>
      </rPr>
      <t>-</t>
    </r>
    <r>
      <rPr>
        <b/>
        <sz val="11"/>
        <color indexed="8"/>
        <rFont val="新細明體"/>
        <family val="1"/>
        <charset val="136"/>
      </rPr>
      <t>63</t>
    </r>
    <r>
      <rPr>
        <sz val="11"/>
        <color indexed="8"/>
        <rFont val="新細明體"/>
        <family val="1"/>
        <charset val="136"/>
      </rPr>
      <t xml:space="preserve">-131-AC6101 </t>
    </r>
    <r>
      <rPr>
        <b/>
        <sz val="11"/>
        <color indexed="8"/>
        <rFont val="新細明體"/>
        <family val="1"/>
        <charset val="136"/>
      </rPr>
      <t xml:space="preserve"> </t>
    </r>
    <phoneticPr fontId="2" type="noConversion"/>
  </si>
  <si>
    <r>
      <t xml:space="preserve">二截/2000年                                   </t>
    </r>
    <r>
      <rPr>
        <sz val="11"/>
        <color indexed="20"/>
        <rFont val="新細明體"/>
        <family val="1"/>
        <charset val="136"/>
      </rPr>
      <t>發票轉開威泰</t>
    </r>
    <phoneticPr fontId="2" type="noConversion"/>
  </si>
  <si>
    <r>
      <t>FBRW</t>
    </r>
    <r>
      <rPr>
        <b/>
        <sz val="11"/>
        <color indexed="8"/>
        <rFont val="新細明體"/>
        <family val="1"/>
        <charset val="136"/>
      </rPr>
      <t>15</t>
    </r>
    <r>
      <rPr>
        <sz val="11"/>
        <color indexed="8"/>
        <rFont val="新細明體"/>
        <family val="1"/>
        <charset val="136"/>
      </rPr>
      <t>-</t>
    </r>
    <r>
      <rPr>
        <b/>
        <sz val="11"/>
        <color indexed="8"/>
        <rFont val="新細明體"/>
        <family val="1"/>
        <charset val="136"/>
      </rPr>
      <t>60</t>
    </r>
    <r>
      <rPr>
        <sz val="11"/>
        <color indexed="8"/>
        <rFont val="新細明體"/>
        <family val="1"/>
        <charset val="136"/>
      </rPr>
      <t xml:space="preserve">-131-AB1895 </t>
    </r>
    <r>
      <rPr>
        <b/>
        <sz val="11"/>
        <color indexed="8"/>
        <rFont val="新細明體"/>
        <family val="1"/>
        <charset val="136"/>
      </rPr>
      <t xml:space="preserve"> </t>
    </r>
    <phoneticPr fontId="2" type="noConversion"/>
  </si>
  <si>
    <r>
      <t>6FBRK13</t>
    </r>
    <r>
      <rPr>
        <sz val="11"/>
        <color indexed="8"/>
        <rFont val="新細明體"/>
        <family val="1"/>
        <charset val="136"/>
      </rPr>
      <t xml:space="preserve">-10365  </t>
    </r>
    <phoneticPr fontId="2" type="noConversion"/>
  </si>
  <si>
    <r>
      <t>6FBR15</t>
    </r>
    <r>
      <rPr>
        <sz val="11"/>
        <color indexed="8"/>
        <rFont val="新細明體"/>
        <family val="1"/>
        <charset val="136"/>
      </rPr>
      <t xml:space="preserve">-32085  </t>
    </r>
    <r>
      <rPr>
        <b/>
        <sz val="11"/>
        <color indexed="8"/>
        <rFont val="新細明體"/>
        <family val="1"/>
        <charset val="136"/>
      </rPr>
      <t xml:space="preserve"> </t>
    </r>
    <phoneticPr fontId="2" type="noConversion"/>
  </si>
  <si>
    <t>101/05/08</t>
    <phoneticPr fontId="2" type="noConversion"/>
  </si>
  <si>
    <t>103/04/14出售</t>
    <phoneticPr fontId="2" type="noConversion"/>
  </si>
  <si>
    <t>大阪</t>
    <phoneticPr fontId="2" type="noConversion"/>
  </si>
  <si>
    <t>永臣</t>
    <phoneticPr fontId="2" type="noConversion"/>
  </si>
  <si>
    <r>
      <t>座式</t>
    </r>
    <r>
      <rPr>
        <b/>
        <sz val="11"/>
        <color indexed="62"/>
        <rFont val="新細明體"/>
        <family val="1"/>
        <charset val="136"/>
      </rPr>
      <t>汽油</t>
    </r>
    <phoneticPr fontId="2" type="noConversion"/>
  </si>
  <si>
    <t>TOYOTA</t>
    <phoneticPr fontId="2" type="noConversion"/>
  </si>
  <si>
    <t>8FGL20-11043</t>
    <phoneticPr fontId="2" type="noConversion"/>
  </si>
  <si>
    <t>103/05/21出售</t>
    <phoneticPr fontId="2" type="noConversion"/>
  </si>
  <si>
    <t>鎧鈺</t>
    <phoneticPr fontId="2" type="noConversion"/>
  </si>
  <si>
    <t>彰得</t>
    <phoneticPr fontId="2" type="noConversion"/>
  </si>
  <si>
    <t>座式電動</t>
    <phoneticPr fontId="2" type="noConversion"/>
  </si>
  <si>
    <t>NYK</t>
    <phoneticPr fontId="2" type="noConversion"/>
  </si>
  <si>
    <t>6FB20PV-70-241AC1293</t>
    <phoneticPr fontId="2" type="noConversion"/>
  </si>
  <si>
    <t>103.3.22</t>
    <phoneticPr fontId="2" type="noConversion"/>
  </si>
  <si>
    <t>103/06/06出售</t>
    <phoneticPr fontId="2" type="noConversion"/>
  </si>
  <si>
    <t>雙霖</t>
    <phoneticPr fontId="2" type="noConversion"/>
  </si>
  <si>
    <t>TOYOTA</t>
    <phoneticPr fontId="2" type="noConversion"/>
  </si>
  <si>
    <t>6FBRS13      10017</t>
    <phoneticPr fontId="2" type="noConversion"/>
  </si>
  <si>
    <t>103.5.15</t>
    <phoneticPr fontId="2" type="noConversion"/>
  </si>
  <si>
    <t>103/06/10出售</t>
    <phoneticPr fontId="2" type="noConversion"/>
  </si>
  <si>
    <t>座式柴油</t>
  </si>
  <si>
    <t>2007年  9月</t>
    <phoneticPr fontId="2" type="noConversion"/>
  </si>
  <si>
    <t xml:space="preserve">二截貨櫃      </t>
    <phoneticPr fontId="2" type="noConversion"/>
  </si>
  <si>
    <t>60-5FD20 A605FD25-40458</t>
    <phoneticPr fontId="2" type="noConversion"/>
  </si>
  <si>
    <t>雙霖</t>
    <phoneticPr fontId="2" type="noConversion"/>
  </si>
  <si>
    <t>7FBR15-15103</t>
    <phoneticPr fontId="2" type="noConversion"/>
  </si>
  <si>
    <t>103/07/15出售</t>
    <phoneticPr fontId="2" type="noConversion"/>
  </si>
  <si>
    <t>光巨</t>
    <phoneticPr fontId="2" type="noConversion"/>
  </si>
  <si>
    <t>2010/09    48V</t>
    <phoneticPr fontId="2" type="noConversion"/>
  </si>
  <si>
    <t>103.06.21</t>
    <phoneticPr fontId="2" type="noConversion"/>
  </si>
  <si>
    <t>FBRA15-60   131AB1169</t>
    <phoneticPr fontId="2" type="noConversion"/>
  </si>
  <si>
    <t>V4</t>
    <phoneticPr fontId="2" type="noConversion"/>
  </si>
  <si>
    <t>103.7.12</t>
    <phoneticPr fontId="2" type="noConversion"/>
  </si>
  <si>
    <t>FB25PN-60-241AA2588</t>
    <phoneticPr fontId="2" type="noConversion"/>
  </si>
  <si>
    <t>103.07.18</t>
    <phoneticPr fontId="2" type="noConversion"/>
  </si>
  <si>
    <t>達興</t>
    <phoneticPr fontId="2" type="noConversion"/>
  </si>
  <si>
    <t>103/07/30出售</t>
    <phoneticPr fontId="2" type="noConversion"/>
  </si>
  <si>
    <t>6FBR18-30624</t>
  </si>
  <si>
    <t>仙台</t>
    <phoneticPr fontId="2" type="noConversion"/>
  </si>
  <si>
    <t>金羅普</t>
    <phoneticPr fontId="2" type="noConversion"/>
  </si>
  <si>
    <t>TOYOTA</t>
    <phoneticPr fontId="2" type="noConversion"/>
  </si>
  <si>
    <t>103/08/08出售</t>
    <phoneticPr fontId="2" type="noConversion"/>
  </si>
  <si>
    <t>103.08.07</t>
    <phoneticPr fontId="2" type="noConversion"/>
  </si>
  <si>
    <t>6FBRS18-33810</t>
    <phoneticPr fontId="2" type="noConversion"/>
  </si>
  <si>
    <t>6FBRS15-32085</t>
    <phoneticPr fontId="2" type="noConversion"/>
  </si>
  <si>
    <t>103/04/28出售</t>
    <phoneticPr fontId="2" type="noConversion"/>
  </si>
  <si>
    <t>103/03/27出售</t>
    <phoneticPr fontId="2" type="noConversion"/>
  </si>
  <si>
    <t>103.08.13</t>
    <phoneticPr fontId="2" type="noConversion"/>
  </si>
  <si>
    <t>02-6FD25-33877</t>
    <phoneticPr fontId="2" type="noConversion"/>
  </si>
  <si>
    <t>聯亞</t>
    <phoneticPr fontId="2" type="noConversion"/>
  </si>
  <si>
    <t>103/08/15出售</t>
    <phoneticPr fontId="2" type="noConversion"/>
  </si>
  <si>
    <t>FB18RS-12 87116</t>
    <phoneticPr fontId="2" type="noConversion"/>
  </si>
  <si>
    <t>6FBR15-10949</t>
    <phoneticPr fontId="2" type="noConversion"/>
  </si>
  <si>
    <t>48V，自重2260</t>
    <phoneticPr fontId="2" type="noConversion"/>
  </si>
  <si>
    <t>特鼎盛</t>
    <phoneticPr fontId="2" type="noConversion"/>
  </si>
  <si>
    <t xml:space="preserve">BT </t>
    <phoneticPr fontId="2" type="noConversion"/>
  </si>
  <si>
    <t>BT   LPE200    SN:930488</t>
    <phoneticPr fontId="2" type="noConversion"/>
  </si>
  <si>
    <t>103.05.21</t>
    <phoneticPr fontId="2" type="noConversion"/>
  </si>
  <si>
    <t>103.07.31</t>
    <phoneticPr fontId="2" type="noConversion"/>
  </si>
  <si>
    <t>BT LPE200/8-6008976</t>
    <phoneticPr fontId="2" type="noConversion"/>
  </si>
  <si>
    <t>103.04.08</t>
    <phoneticPr fontId="2" type="noConversion"/>
  </si>
  <si>
    <t>保意興</t>
    <phoneticPr fontId="2" type="noConversion"/>
  </si>
  <si>
    <t>2RFBA10-10206</t>
    <phoneticPr fontId="2" type="noConversion"/>
  </si>
  <si>
    <t>103.09.23</t>
    <phoneticPr fontId="2" type="noConversion"/>
  </si>
  <si>
    <t>三巷立式電動</t>
    <phoneticPr fontId="2" type="noConversion"/>
  </si>
  <si>
    <t>一原</t>
    <phoneticPr fontId="2" type="noConversion"/>
  </si>
  <si>
    <t>103/09/23出售</t>
    <phoneticPr fontId="2" type="noConversion"/>
  </si>
  <si>
    <t>合升</t>
    <phoneticPr fontId="2" type="noConversion"/>
  </si>
  <si>
    <t>103/09/30出售</t>
    <phoneticPr fontId="2" type="noConversion"/>
  </si>
  <si>
    <t>輔祥</t>
    <phoneticPr fontId="2" type="noConversion"/>
  </si>
  <si>
    <t>101.12.25</t>
    <phoneticPr fontId="2" type="noConversion"/>
  </si>
  <si>
    <t>7FB25-13734</t>
    <phoneticPr fontId="2" type="noConversion"/>
  </si>
  <si>
    <t>103.09.26</t>
    <phoneticPr fontId="2" type="noConversion"/>
  </si>
  <si>
    <t>7FBH25-28456</t>
    <phoneticPr fontId="2" type="noConversion"/>
  </si>
  <si>
    <t>103.10.08</t>
    <phoneticPr fontId="2" type="noConversion"/>
  </si>
  <si>
    <t>7FB25-36250</t>
    <phoneticPr fontId="2" type="noConversion"/>
  </si>
  <si>
    <t>6FBRKS13-10089</t>
    <phoneticPr fontId="2" type="noConversion"/>
  </si>
  <si>
    <t>103.10.01</t>
    <phoneticPr fontId="2" type="noConversion"/>
  </si>
  <si>
    <t>103.10.15</t>
    <phoneticPr fontId="2" type="noConversion"/>
  </si>
  <si>
    <t>7FBH25-36875</t>
    <phoneticPr fontId="2" type="noConversion"/>
  </si>
  <si>
    <t>103.10.18</t>
    <phoneticPr fontId="2" type="noConversion"/>
  </si>
  <si>
    <t>中科  三期</t>
    <phoneticPr fontId="2" type="noConversion"/>
  </si>
  <si>
    <t>中科  一期</t>
    <phoneticPr fontId="2" type="noConversion"/>
  </si>
  <si>
    <t>中科  包裁</t>
    <phoneticPr fontId="2" type="noConversion"/>
  </si>
  <si>
    <t>102.10.12</t>
    <phoneticPr fontId="2" type="noConversion"/>
  </si>
  <si>
    <t>103.01.13</t>
    <phoneticPr fontId="2" type="noConversion"/>
  </si>
  <si>
    <t>群溢</t>
    <phoneticPr fontId="2" type="noConversion"/>
  </si>
  <si>
    <t>103/10/23出售</t>
    <phoneticPr fontId="2" type="noConversion"/>
  </si>
  <si>
    <t>辰光-魔米</t>
    <phoneticPr fontId="2" type="noConversion"/>
  </si>
  <si>
    <t>103/10/24出售</t>
    <phoneticPr fontId="2" type="noConversion"/>
  </si>
  <si>
    <t>峻新</t>
    <phoneticPr fontId="2" type="noConversion"/>
  </si>
  <si>
    <t>天歐</t>
    <phoneticPr fontId="2" type="noConversion"/>
  </si>
  <si>
    <t>103/10/27出售</t>
    <phoneticPr fontId="2" type="noConversion"/>
  </si>
  <si>
    <t>NISSAN</t>
    <phoneticPr fontId="2" type="noConversion"/>
  </si>
  <si>
    <t>5FD20  5FD25-15236</t>
    <phoneticPr fontId="2" type="noConversion"/>
  </si>
  <si>
    <t>合升估回</t>
    <phoneticPr fontId="2" type="noConversion"/>
  </si>
  <si>
    <t>牙叉:770MM；48V 370AH；2007</t>
    <phoneticPr fontId="2" type="noConversion"/>
  </si>
  <si>
    <t>左右位移，自重3950，1997</t>
    <phoneticPr fontId="2" type="noConversion"/>
  </si>
  <si>
    <t>6FB20-10429</t>
    <phoneticPr fontId="2" type="noConversion"/>
  </si>
  <si>
    <t>103.09.24</t>
    <phoneticPr fontId="2" type="noConversion"/>
  </si>
  <si>
    <t>6FBR15-11887</t>
    <phoneticPr fontId="2" type="noConversion"/>
  </si>
  <si>
    <t>103.11.06</t>
    <phoneticPr fontId="2" type="noConversion"/>
  </si>
  <si>
    <t>6FBR13-30879</t>
    <phoneticPr fontId="2" type="noConversion"/>
  </si>
  <si>
    <t>銘育</t>
    <phoneticPr fontId="2" type="noConversion"/>
  </si>
  <si>
    <t>103/11/11出售</t>
    <phoneticPr fontId="2" type="noConversion"/>
  </si>
  <si>
    <r>
      <t>FB</t>
    </r>
    <r>
      <rPr>
        <b/>
        <sz val="12"/>
        <rFont val="新細明體"/>
        <family val="1"/>
        <charset val="136"/>
      </rPr>
      <t>20</t>
    </r>
    <r>
      <rPr>
        <sz val="12"/>
        <rFont val="新細明體"/>
        <family val="1"/>
        <charset val="136"/>
      </rPr>
      <t xml:space="preserve">EX-8 810371-2002-10  </t>
    </r>
    <phoneticPr fontId="2" type="noConversion"/>
  </si>
  <si>
    <t>直大</t>
    <phoneticPr fontId="2" type="noConversion"/>
  </si>
  <si>
    <t>7FBH18-40102</t>
    <phoneticPr fontId="2" type="noConversion"/>
  </si>
  <si>
    <t>103/11/25出售</t>
    <phoneticPr fontId="2" type="noConversion"/>
  </si>
  <si>
    <t>7FBRK10-10385</t>
    <phoneticPr fontId="2" type="noConversion"/>
  </si>
  <si>
    <t>103/10/31出售</t>
    <phoneticPr fontId="2" type="noConversion"/>
  </si>
  <si>
    <t>估回</t>
    <phoneticPr fontId="2" type="noConversion"/>
  </si>
  <si>
    <t>豪星</t>
    <phoneticPr fontId="2" type="noConversion"/>
  </si>
  <si>
    <t xml:space="preserve">TOYOTA </t>
  </si>
  <si>
    <t>103.11.19</t>
    <phoneticPr fontId="2" type="noConversion"/>
  </si>
  <si>
    <t>6FB20-21846</t>
    <phoneticPr fontId="2" type="noConversion"/>
  </si>
  <si>
    <t>103.12.08</t>
    <phoneticPr fontId="2" type="noConversion"/>
  </si>
  <si>
    <t>鎧鈺</t>
    <phoneticPr fontId="2" type="noConversion"/>
  </si>
  <si>
    <t>漢育</t>
    <phoneticPr fontId="2" type="noConversion"/>
  </si>
  <si>
    <t>6FBRK13-10174</t>
  </si>
  <si>
    <t>103.12.08</t>
  </si>
  <si>
    <t>兩截貨櫃</t>
    <phoneticPr fontId="2" type="noConversion"/>
  </si>
  <si>
    <t>鎧鈺未給報單</t>
    <phoneticPr fontId="2" type="noConversion"/>
  </si>
  <si>
    <t>仙台</t>
  </si>
  <si>
    <t>三鋐</t>
    <phoneticPr fontId="2" type="noConversion"/>
  </si>
  <si>
    <t>5FD25-47117</t>
  </si>
  <si>
    <t>左右側移改成翻牙/1990年</t>
  </si>
  <si>
    <t>103/12/17出售</t>
    <phoneticPr fontId="2" type="noConversion"/>
  </si>
  <si>
    <t>103/12/19出售</t>
    <phoneticPr fontId="2" type="noConversion"/>
  </si>
  <si>
    <t>松璟</t>
    <phoneticPr fontId="2" type="noConversion"/>
  </si>
  <si>
    <t>103/12/15出售</t>
    <phoneticPr fontId="2" type="noConversion"/>
  </si>
  <si>
    <t>FBT15P-70-300-216AE0215</t>
    <phoneticPr fontId="2" type="noConversion"/>
  </si>
  <si>
    <t>6FBR13      10167</t>
    <phoneticPr fontId="2" type="noConversion"/>
  </si>
  <si>
    <t>長益塑膠</t>
    <phoneticPr fontId="2" type="noConversion"/>
  </si>
  <si>
    <t>103/12/20出售</t>
    <phoneticPr fontId="2" type="noConversion"/>
  </si>
  <si>
    <t>103.12.20</t>
    <phoneticPr fontId="2" type="noConversion"/>
  </si>
  <si>
    <t>鎧鈺</t>
    <phoneticPr fontId="2" type="noConversion"/>
  </si>
  <si>
    <t>嘉典</t>
    <phoneticPr fontId="2" type="noConversion"/>
  </si>
  <si>
    <t>103/12/22出售</t>
    <phoneticPr fontId="2" type="noConversion"/>
  </si>
  <si>
    <t>103.09.15</t>
    <phoneticPr fontId="2" type="noConversion"/>
  </si>
  <si>
    <r>
      <t>7FD25</t>
    </r>
    <r>
      <rPr>
        <sz val="12"/>
        <color indexed="8"/>
        <rFont val="新細明體"/>
        <family val="1"/>
        <charset val="136"/>
      </rPr>
      <t>-31209</t>
    </r>
    <phoneticPr fontId="2" type="noConversion"/>
  </si>
  <si>
    <r>
      <t>6FBR15</t>
    </r>
    <r>
      <rPr>
        <sz val="12"/>
        <color indexed="8"/>
        <rFont val="新細明體"/>
        <family val="1"/>
        <charset val="136"/>
      </rPr>
      <t xml:space="preserve">-33810   </t>
    </r>
    <phoneticPr fontId="2" type="noConversion"/>
  </si>
  <si>
    <r>
      <t>FB</t>
    </r>
    <r>
      <rPr>
        <b/>
        <sz val="12"/>
        <color indexed="8"/>
        <rFont val="新細明體"/>
        <family val="1"/>
        <charset val="136"/>
      </rPr>
      <t>25</t>
    </r>
    <r>
      <rPr>
        <sz val="12"/>
        <color indexed="8"/>
        <rFont val="新細明體"/>
        <family val="1"/>
        <charset val="136"/>
      </rPr>
      <t xml:space="preserve">EX-8  810415 </t>
    </r>
    <r>
      <rPr>
        <b/>
        <sz val="12"/>
        <color indexed="8"/>
        <rFont val="新細明體"/>
        <family val="1"/>
        <charset val="136"/>
      </rPr>
      <t xml:space="preserve"> </t>
    </r>
    <phoneticPr fontId="2" type="noConversion"/>
  </si>
  <si>
    <r>
      <t>7FB18</t>
    </r>
    <r>
      <rPr>
        <sz val="12"/>
        <color indexed="8"/>
        <rFont val="新細明體"/>
        <family val="1"/>
        <charset val="136"/>
      </rPr>
      <t>-10930</t>
    </r>
    <phoneticPr fontId="2" type="noConversion"/>
  </si>
  <si>
    <r>
      <t>FBRAW</t>
    </r>
    <r>
      <rPr>
        <b/>
        <sz val="12"/>
        <color indexed="8"/>
        <rFont val="新細明體"/>
        <family val="1"/>
        <charset val="136"/>
      </rPr>
      <t>15</t>
    </r>
    <r>
      <rPr>
        <sz val="12"/>
        <color indexed="8"/>
        <rFont val="新細明體"/>
        <family val="1"/>
        <charset val="136"/>
      </rPr>
      <t>-75</t>
    </r>
    <r>
      <rPr>
        <b/>
        <sz val="12"/>
        <color indexed="8"/>
        <rFont val="新細明體"/>
        <family val="1"/>
        <charset val="136"/>
      </rPr>
      <t>B</t>
    </r>
    <r>
      <rPr>
        <sz val="12"/>
        <color indexed="8"/>
        <rFont val="新細明體"/>
        <family val="1"/>
        <charset val="136"/>
      </rPr>
      <t>-300-131AE9542</t>
    </r>
    <phoneticPr fontId="2" type="noConversion"/>
  </si>
  <si>
    <r>
      <t>6FB20-FSVE61  6FB25-10112</t>
    </r>
    <r>
      <rPr>
        <b/>
        <sz val="12"/>
        <color indexed="8"/>
        <rFont val="新細明體"/>
        <family val="1"/>
        <charset val="136"/>
      </rPr>
      <t xml:space="preserve">  前四輪</t>
    </r>
    <phoneticPr fontId="2" type="noConversion"/>
  </si>
  <si>
    <t>製造日期</t>
    <phoneticPr fontId="2" type="noConversion"/>
  </si>
  <si>
    <t xml:space="preserve">翻牙/1998年         </t>
    <phoneticPr fontId="2" type="noConversion"/>
  </si>
  <si>
    <t xml:space="preserve"> 1994/10月        </t>
    <phoneticPr fontId="2" type="noConversion"/>
  </si>
  <si>
    <t>1994年10月</t>
    <phoneticPr fontId="2" type="noConversion"/>
  </si>
  <si>
    <t>2000年05月</t>
    <phoneticPr fontId="2" type="noConversion"/>
  </si>
  <si>
    <t>左右側移/1998/09月</t>
    <phoneticPr fontId="2" type="noConversion"/>
  </si>
  <si>
    <t xml:space="preserve">2004年            </t>
    <phoneticPr fontId="2" type="noConversion"/>
  </si>
  <si>
    <t>2004年</t>
  </si>
  <si>
    <t>2000年</t>
  </si>
  <si>
    <t>1996年</t>
    <phoneticPr fontId="2" type="noConversion"/>
  </si>
  <si>
    <t>1995年</t>
    <phoneticPr fontId="2" type="noConversion"/>
  </si>
  <si>
    <t>三截貨櫃、左右側移、1999/08</t>
    <phoneticPr fontId="2" type="noConversion"/>
  </si>
  <si>
    <t>2005/05</t>
    <phoneticPr fontId="2" type="noConversion"/>
  </si>
  <si>
    <t>2005年05月</t>
    <phoneticPr fontId="2" type="noConversion"/>
  </si>
  <si>
    <t>三截貨櫃/2006年</t>
    <phoneticPr fontId="2" type="noConversion"/>
  </si>
  <si>
    <t>2002/05</t>
    <phoneticPr fontId="2" type="noConversion"/>
  </si>
  <si>
    <t>2002年05月</t>
    <phoneticPr fontId="2" type="noConversion"/>
  </si>
  <si>
    <t>三截貨櫃、1998/05</t>
    <phoneticPr fontId="2" type="noConversion"/>
  </si>
  <si>
    <t>1998年05月</t>
    <phoneticPr fontId="2" type="noConversion"/>
  </si>
  <si>
    <t>1998年</t>
    <phoneticPr fontId="2" type="noConversion"/>
  </si>
  <si>
    <t>2005年</t>
  </si>
  <si>
    <t>2005年</t>
    <phoneticPr fontId="2" type="noConversion"/>
  </si>
  <si>
    <t>2000年</t>
    <phoneticPr fontId="2" type="noConversion"/>
  </si>
  <si>
    <t>2007年</t>
    <phoneticPr fontId="2" type="noConversion"/>
  </si>
  <si>
    <t>2006年</t>
    <phoneticPr fontId="2" type="noConversion"/>
  </si>
  <si>
    <t>2010年</t>
    <phoneticPr fontId="2" type="noConversion"/>
  </si>
  <si>
    <t>2003年</t>
    <phoneticPr fontId="2" type="noConversion"/>
  </si>
  <si>
    <t>2001年</t>
    <phoneticPr fontId="2" type="noConversion"/>
  </si>
  <si>
    <t>2008年</t>
    <phoneticPr fontId="2" type="noConversion"/>
  </si>
  <si>
    <t>松璟</t>
    <phoneticPr fontId="2" type="noConversion"/>
  </si>
  <si>
    <t>2008年</t>
    <phoneticPr fontId="2" type="noConversion"/>
  </si>
  <si>
    <t>2009年</t>
    <phoneticPr fontId="2" type="noConversion"/>
  </si>
  <si>
    <t>2001年</t>
    <phoneticPr fontId="2" type="noConversion"/>
  </si>
  <si>
    <t>2007年</t>
    <phoneticPr fontId="2" type="noConversion"/>
  </si>
  <si>
    <t>103/12/31出售</t>
    <phoneticPr fontId="2" type="noConversion"/>
  </si>
  <si>
    <t>6FBR15-34367</t>
    <phoneticPr fontId="2" type="noConversion"/>
  </si>
  <si>
    <t>104.01.09</t>
    <phoneticPr fontId="2" type="noConversion"/>
  </si>
  <si>
    <t>后里  七星</t>
    <phoneticPr fontId="2" type="noConversion"/>
  </si>
  <si>
    <t>LPE200-8-920466</t>
    <phoneticPr fontId="2" type="noConversion"/>
  </si>
  <si>
    <t>LPE200-8-923049</t>
    <phoneticPr fontId="2" type="noConversion"/>
  </si>
  <si>
    <t>LPE200-8-920460</t>
    <phoneticPr fontId="2" type="noConversion"/>
  </si>
  <si>
    <t>王盈富</t>
    <phoneticPr fontId="2" type="noConversion"/>
  </si>
  <si>
    <t>103.10/1~104.9/30</t>
  </si>
  <si>
    <t>104.02.13</t>
    <phoneticPr fontId="2" type="noConversion"/>
  </si>
  <si>
    <t>FD15Z17-11F04159</t>
    <phoneticPr fontId="2" type="noConversion"/>
  </si>
  <si>
    <t>長益</t>
    <phoneticPr fontId="2" type="noConversion"/>
  </si>
  <si>
    <t>國慶</t>
    <phoneticPr fontId="2" type="noConversion"/>
  </si>
  <si>
    <t>座式電動</t>
    <phoneticPr fontId="2" type="noConversion"/>
  </si>
  <si>
    <t>假報單</t>
    <phoneticPr fontId="2" type="noConversion"/>
  </si>
  <si>
    <t>6FBRS13      10018   (辰光客戶-魔米)</t>
    <phoneticPr fontId="2" type="noConversion"/>
  </si>
  <si>
    <t>電話</t>
    <phoneticPr fontId="2" type="noConversion"/>
  </si>
  <si>
    <t>李先生     0937-708918</t>
    <phoneticPr fontId="2" type="noConversion"/>
  </si>
  <si>
    <t>魏先生          04-22810127</t>
    <phoneticPr fontId="2" type="noConversion"/>
  </si>
  <si>
    <t>張副理          04-25225135</t>
    <phoneticPr fontId="2" type="noConversion"/>
  </si>
  <si>
    <t>無電池和牙叉</t>
    <phoneticPr fontId="2" type="noConversion"/>
  </si>
  <si>
    <t>周小姐             06-3570989</t>
    <phoneticPr fontId="2" type="noConversion"/>
  </si>
  <si>
    <t>許先生             04-7861437</t>
    <phoneticPr fontId="2" type="noConversion"/>
  </si>
  <si>
    <t>伸聯成</t>
    <phoneticPr fontId="2" type="noConversion"/>
  </si>
  <si>
    <t>04-7561156</t>
  </si>
  <si>
    <t>04-7840369</t>
  </si>
  <si>
    <t>益豪</t>
    <phoneticPr fontId="2" type="noConversion"/>
  </si>
  <si>
    <t>陳先生#15            06-2536766</t>
    <phoneticPr fontId="2" type="noConversion"/>
  </si>
  <si>
    <t>04-7559197</t>
  </si>
  <si>
    <t>田小姐            林小姐                      049-2200283</t>
    <phoneticPr fontId="2" type="noConversion"/>
  </si>
  <si>
    <t>顏協理                        04-26810232</t>
    <phoneticPr fontId="2" type="noConversion"/>
  </si>
  <si>
    <t>林先生                 04-25350239</t>
    <phoneticPr fontId="2" type="noConversion"/>
  </si>
  <si>
    <t>許廠長                    04-7363333</t>
    <phoneticPr fontId="2" type="noConversion"/>
  </si>
  <si>
    <t>04-7910126</t>
    <phoneticPr fontId="2" type="noConversion"/>
  </si>
  <si>
    <t>陳先生              04-22622348</t>
    <phoneticPr fontId="2" type="noConversion"/>
  </si>
  <si>
    <t>許小姐#215               04-25586915</t>
    <phoneticPr fontId="2" type="noConversion"/>
  </si>
  <si>
    <t>謝經理#298             04-26814468</t>
    <phoneticPr fontId="2" type="noConversion"/>
  </si>
  <si>
    <t>林經理              06-2395889</t>
    <phoneticPr fontId="2" type="noConversion"/>
  </si>
  <si>
    <t>張先生                    04-23355945</t>
    <phoneticPr fontId="2" type="noConversion"/>
  </si>
  <si>
    <t>04-24527439</t>
  </si>
  <si>
    <t>04-7588168</t>
  </si>
  <si>
    <t>02-25561166</t>
  </si>
  <si>
    <t>周先生                  03-4894765</t>
    <phoneticPr fontId="2" type="noConversion"/>
  </si>
  <si>
    <t>04-7763131</t>
  </si>
  <si>
    <t>陳小姐#617                03-5984151</t>
    <phoneticPr fontId="2" type="noConversion"/>
  </si>
  <si>
    <t>鄭廠長               04-7812899</t>
    <phoneticPr fontId="2" type="noConversion"/>
  </si>
  <si>
    <t>04-26380633</t>
  </si>
  <si>
    <t>04-7353458</t>
  </si>
  <si>
    <t>04-23393600</t>
  </si>
  <si>
    <t>04-7709911</t>
  </si>
  <si>
    <t>王小姐#9                  04-7811689</t>
    <phoneticPr fontId="2" type="noConversion"/>
  </si>
  <si>
    <t>04-26392071</t>
  </si>
  <si>
    <t>陳忠義                0910-168112</t>
    <phoneticPr fontId="2" type="noConversion"/>
  </si>
  <si>
    <t>黃玉錫          0928-428766</t>
    <phoneticPr fontId="2" type="noConversion"/>
  </si>
  <si>
    <t>傅廠長            0926-663968</t>
    <phoneticPr fontId="2" type="noConversion"/>
  </si>
  <si>
    <r>
      <t xml:space="preserve">52-8FD30-31289   </t>
    </r>
    <r>
      <rPr>
        <b/>
        <sz val="16"/>
        <color indexed="8"/>
        <rFont val="新細明體"/>
        <family val="1"/>
        <charset val="136"/>
      </rPr>
      <t>遺失</t>
    </r>
    <phoneticPr fontId="2" type="noConversion"/>
  </si>
  <si>
    <t>YAM</t>
    <phoneticPr fontId="2" type="noConversion"/>
  </si>
  <si>
    <t>FD25-TF450</t>
    <phoneticPr fontId="2" type="noConversion"/>
  </si>
  <si>
    <t>104.04.11</t>
    <phoneticPr fontId="2" type="noConversion"/>
  </si>
  <si>
    <t>104.04.18</t>
    <phoneticPr fontId="2" type="noConversion"/>
  </si>
  <si>
    <t>2011年</t>
    <phoneticPr fontId="2" type="noConversion"/>
  </si>
  <si>
    <t>5FD25-42000</t>
    <phoneticPr fontId="2" type="noConversion"/>
  </si>
  <si>
    <t>TOYOTA</t>
    <phoneticPr fontId="2" type="noConversion"/>
  </si>
  <si>
    <t>52-8FD25-41149(全新)</t>
    <phoneticPr fontId="2" type="noConversion"/>
  </si>
  <si>
    <t>認證貼紙</t>
    <phoneticPr fontId="2" type="noConversion"/>
  </si>
  <si>
    <t>7FB20  7FB25-53149(全新)</t>
    <phoneticPr fontId="2" type="noConversion"/>
  </si>
  <si>
    <t>02-8FDL25-61471(全新)</t>
    <phoneticPr fontId="2" type="noConversion"/>
  </si>
  <si>
    <t>104.06.01</t>
    <phoneticPr fontId="2" type="noConversion"/>
  </si>
  <si>
    <t>6FBL25-10299</t>
    <phoneticPr fontId="2" type="noConversion"/>
  </si>
  <si>
    <t>慶祥</t>
    <phoneticPr fontId="2" type="noConversion"/>
  </si>
  <si>
    <t>東泰</t>
    <phoneticPr fontId="2" type="noConversion"/>
  </si>
  <si>
    <t>104.04.15出售</t>
    <phoneticPr fontId="2" type="noConversion"/>
  </si>
  <si>
    <t>104.06.10出售</t>
    <phoneticPr fontId="2" type="noConversion"/>
  </si>
  <si>
    <t>座式柴油</t>
    <phoneticPr fontId="2" type="noConversion"/>
  </si>
  <si>
    <t>歐柏</t>
    <phoneticPr fontId="2" type="noConversion"/>
  </si>
  <si>
    <t>7FBRK10-10854</t>
  </si>
  <si>
    <t>104.04.18</t>
  </si>
  <si>
    <t>104.07.06出售</t>
    <phoneticPr fontId="2" type="noConversion"/>
  </si>
  <si>
    <t>2005.07~三截貨櫃</t>
    <phoneticPr fontId="2" type="noConversion"/>
  </si>
  <si>
    <t>進鑫</t>
    <phoneticPr fontId="2" type="noConversion"/>
  </si>
  <si>
    <t>立式電動</t>
    <phoneticPr fontId="2" type="noConversion"/>
  </si>
  <si>
    <t>6FBR15-11389</t>
    <phoneticPr fontId="2" type="noConversion"/>
  </si>
  <si>
    <t>104.07.09</t>
    <phoneticPr fontId="2" type="noConversion"/>
  </si>
  <si>
    <t>6FBR15-30616</t>
    <phoneticPr fontId="2" type="noConversion"/>
  </si>
  <si>
    <t>6FBR15-31954</t>
    <phoneticPr fontId="2" type="noConversion"/>
  </si>
  <si>
    <t>1998/9</t>
    <phoneticPr fontId="2" type="noConversion"/>
  </si>
  <si>
    <t>2000/06</t>
    <phoneticPr fontId="2" type="noConversion"/>
  </si>
  <si>
    <t>6FBR15-30307</t>
    <phoneticPr fontId="2" type="noConversion"/>
  </si>
  <si>
    <t>認證貼紙</t>
    <phoneticPr fontId="2" type="noConversion"/>
  </si>
  <si>
    <t>昆揚</t>
    <phoneticPr fontId="2" type="noConversion"/>
  </si>
  <si>
    <t>104.07.17出售</t>
    <phoneticPr fontId="2" type="noConversion"/>
  </si>
  <si>
    <t>華展</t>
    <phoneticPr fontId="2" type="noConversion"/>
  </si>
  <si>
    <t>104.07.27出售</t>
    <phoneticPr fontId="2" type="noConversion"/>
  </si>
  <si>
    <t>104.07.24出售</t>
    <phoneticPr fontId="2" type="noConversion"/>
  </si>
  <si>
    <t>展暉</t>
    <phoneticPr fontId="2" type="noConversion"/>
  </si>
  <si>
    <t>6FBR10-10248</t>
    <phoneticPr fontId="2" type="noConversion"/>
  </si>
  <si>
    <t>104.08.18</t>
    <phoneticPr fontId="2" type="noConversion"/>
  </si>
  <si>
    <t>LPE200-8-6121863</t>
    <phoneticPr fontId="2" type="noConversion"/>
  </si>
  <si>
    <t>1998/09</t>
    <phoneticPr fontId="2" type="noConversion"/>
  </si>
  <si>
    <t>2010，24V</t>
    <phoneticPr fontId="2" type="noConversion"/>
  </si>
  <si>
    <t>雙霖</t>
    <phoneticPr fontId="2" type="noConversion"/>
  </si>
  <si>
    <t>24V，2005年</t>
    <phoneticPr fontId="2" type="noConversion"/>
  </si>
  <si>
    <t>鎧鈺</t>
    <phoneticPr fontId="2" type="noConversion"/>
  </si>
  <si>
    <t>貿鴻</t>
    <phoneticPr fontId="2" type="noConversion"/>
  </si>
  <si>
    <t>104.08.24出售</t>
    <phoneticPr fontId="2" type="noConversion"/>
  </si>
  <si>
    <t>6FBRJ9-10468</t>
    <phoneticPr fontId="2" type="noConversion"/>
  </si>
  <si>
    <t>24V，2001</t>
    <phoneticPr fontId="2" type="noConversion"/>
  </si>
  <si>
    <t>漢育</t>
    <phoneticPr fontId="2" type="noConversion"/>
  </si>
  <si>
    <t>104.08.25出售</t>
    <phoneticPr fontId="2" type="noConversion"/>
  </si>
  <si>
    <t>里昂</t>
    <phoneticPr fontId="2" type="noConversion"/>
  </si>
  <si>
    <t>104.08.27出售</t>
    <phoneticPr fontId="2" type="noConversion"/>
  </si>
  <si>
    <t>6FB20PV-70-241AC14293</t>
    <phoneticPr fontId="2" type="noConversion"/>
  </si>
  <si>
    <t>傾倒5m，改鏟斗 H800*W1200*D800mm</t>
    <phoneticPr fontId="2" type="noConversion"/>
  </si>
  <si>
    <t>104.09.03出貨</t>
    <phoneticPr fontId="2" type="noConversion"/>
  </si>
  <si>
    <t>門市</t>
    <phoneticPr fontId="2" type="noConversion"/>
  </si>
  <si>
    <t>創翌</t>
    <phoneticPr fontId="2" type="noConversion"/>
  </si>
  <si>
    <t>104.10.07出售</t>
    <phoneticPr fontId="2" type="noConversion"/>
  </si>
  <si>
    <t>翻牙</t>
    <phoneticPr fontId="2" type="noConversion"/>
  </si>
  <si>
    <t>華展</t>
    <phoneticPr fontId="2" type="noConversion"/>
  </si>
  <si>
    <r>
      <t>FD</t>
    </r>
    <r>
      <rPr>
        <b/>
        <sz val="12"/>
        <rFont val="新細明體"/>
        <family val="1"/>
        <charset val="136"/>
      </rPr>
      <t>30</t>
    </r>
    <r>
      <rPr>
        <sz val="12"/>
        <rFont val="新細明體"/>
        <family val="1"/>
        <charset val="136"/>
      </rPr>
      <t>Z7</t>
    </r>
    <r>
      <rPr>
        <sz val="12"/>
        <rFont val="新細明體"/>
        <family val="1"/>
        <charset val="136"/>
      </rPr>
      <t>S</t>
    </r>
    <r>
      <rPr>
        <sz val="12"/>
        <rFont val="新細明體"/>
        <family val="1"/>
        <charset val="136"/>
      </rPr>
      <t xml:space="preserve">    </t>
    </r>
    <r>
      <rPr>
        <sz val="12"/>
        <rFont val="新細明體"/>
        <family val="1"/>
        <charset val="136"/>
      </rPr>
      <t>22R52269</t>
    </r>
    <phoneticPr fontId="2" type="noConversion"/>
  </si>
  <si>
    <t>顥記</t>
    <phoneticPr fontId="2" type="noConversion"/>
  </si>
  <si>
    <t>104.10.14出售</t>
    <phoneticPr fontId="2" type="noConversion"/>
  </si>
  <si>
    <t>2RFBA12-10125</t>
    <phoneticPr fontId="2" type="noConversion"/>
  </si>
  <si>
    <t>7FBJ35-10310</t>
    <phoneticPr fontId="2" type="noConversion"/>
  </si>
  <si>
    <t>104.10.07</t>
    <phoneticPr fontId="2" type="noConversion"/>
  </si>
  <si>
    <t>2000/09</t>
    <phoneticPr fontId="2" type="noConversion"/>
  </si>
  <si>
    <t>華展</t>
    <phoneticPr fontId="2" type="noConversion"/>
  </si>
  <si>
    <t>104.10.26出售</t>
    <phoneticPr fontId="2" type="noConversion"/>
  </si>
  <si>
    <t>7FB25-10867</t>
    <phoneticPr fontId="2" type="noConversion"/>
  </si>
  <si>
    <t>104.10.26</t>
    <phoneticPr fontId="2" type="noConversion"/>
  </si>
  <si>
    <t>104.11.02</t>
    <phoneticPr fontId="2" type="noConversion"/>
  </si>
  <si>
    <t>2015/07</t>
    <phoneticPr fontId="2" type="noConversion"/>
  </si>
  <si>
    <t>2000/07</t>
    <phoneticPr fontId="2" type="noConversion"/>
  </si>
  <si>
    <t>7FB25-55875   (全新)</t>
    <phoneticPr fontId="2" type="noConversion"/>
  </si>
  <si>
    <t>雙霖</t>
    <phoneticPr fontId="2" type="noConversion"/>
  </si>
  <si>
    <t>政龍</t>
    <phoneticPr fontId="2" type="noConversion"/>
  </si>
  <si>
    <t>104.11.03出售</t>
    <phoneticPr fontId="2" type="noConversion"/>
  </si>
  <si>
    <t>來永</t>
    <phoneticPr fontId="2" type="noConversion"/>
  </si>
  <si>
    <t>104.11.06出售</t>
    <phoneticPr fontId="2" type="noConversion"/>
  </si>
  <si>
    <t>102.05.13</t>
    <phoneticPr fontId="2" type="noConversion"/>
  </si>
  <si>
    <t>104.10.27出售</t>
  </si>
  <si>
    <t>三截貨櫃型/左右側移;1990</t>
  </si>
  <si>
    <t>宏日</t>
    <phoneticPr fontId="2" type="noConversion"/>
  </si>
  <si>
    <t>2000年</t>
    <phoneticPr fontId="2" type="noConversion"/>
  </si>
  <si>
    <t>104.11.23出售</t>
    <phoneticPr fontId="2" type="noConversion"/>
  </si>
  <si>
    <t>升騰</t>
    <phoneticPr fontId="2" type="noConversion"/>
  </si>
  <si>
    <t>展裕</t>
    <phoneticPr fontId="2" type="noConversion"/>
  </si>
  <si>
    <t>104.12.19出售</t>
    <phoneticPr fontId="2" type="noConversion"/>
  </si>
  <si>
    <r>
      <t>FD25W(N)</t>
    </r>
    <r>
      <rPr>
        <sz val="12"/>
        <rFont val="新細明體"/>
        <family val="1"/>
        <charset val="136"/>
      </rPr>
      <t>7-42T00561</t>
    </r>
    <r>
      <rPr>
        <b/>
        <sz val="12"/>
        <rFont val="新細明體"/>
        <family val="1"/>
        <charset val="136"/>
      </rPr>
      <t xml:space="preserve">  </t>
    </r>
    <phoneticPr fontId="2" type="noConversion"/>
  </si>
  <si>
    <t>7FB20-12586（7FB25）</t>
    <phoneticPr fontId="2" type="noConversion"/>
  </si>
  <si>
    <t>7FBR18-11100</t>
    <phoneticPr fontId="2" type="noConversion"/>
  </si>
  <si>
    <t>104.12.23</t>
    <phoneticPr fontId="2" type="noConversion"/>
  </si>
  <si>
    <t>三截/2003.09/48V</t>
    <phoneticPr fontId="2" type="noConversion"/>
  </si>
  <si>
    <t>1999.02/48V</t>
    <phoneticPr fontId="2" type="noConversion"/>
  </si>
  <si>
    <t>7FBR18-10100</t>
    <phoneticPr fontId="2" type="noConversion"/>
  </si>
  <si>
    <t>104.12.23</t>
    <phoneticPr fontId="2" type="noConversion"/>
  </si>
  <si>
    <t>2001.04/48V</t>
    <phoneticPr fontId="2" type="noConversion"/>
  </si>
  <si>
    <t>7FBR15-13273</t>
    <phoneticPr fontId="2" type="noConversion"/>
  </si>
  <si>
    <t>104.12.28出售</t>
    <phoneticPr fontId="2" type="noConversion"/>
  </si>
  <si>
    <t>明昌</t>
    <phoneticPr fontId="2" type="noConversion"/>
  </si>
  <si>
    <r>
      <t>FD</t>
    </r>
    <r>
      <rPr>
        <sz val="12"/>
        <rFont val="新細明體"/>
        <family val="1"/>
        <charset val="136"/>
      </rPr>
      <t>25Z3   F</t>
    </r>
    <r>
      <rPr>
        <sz val="12"/>
        <rFont val="新細明體"/>
        <family val="1"/>
        <charset val="136"/>
      </rPr>
      <t>3</t>
    </r>
    <r>
      <rPr>
        <sz val="12"/>
        <rFont val="新細明體"/>
        <family val="1"/>
        <charset val="136"/>
      </rPr>
      <t>149758</t>
    </r>
    <phoneticPr fontId="2" type="noConversion"/>
  </si>
  <si>
    <t>6FBR18-30583</t>
    <phoneticPr fontId="2" type="noConversion"/>
  </si>
  <si>
    <t>103.04.12</t>
    <phoneticPr fontId="2" type="noConversion"/>
  </si>
  <si>
    <t>NISSAN</t>
    <phoneticPr fontId="2" type="noConversion"/>
  </si>
  <si>
    <t>2006   雙輪</t>
    <phoneticPr fontId="2" type="noConversion"/>
  </si>
  <si>
    <t>雙霖</t>
    <phoneticPr fontId="2" type="noConversion"/>
  </si>
  <si>
    <t>青揚</t>
    <phoneticPr fontId="2" type="noConversion"/>
  </si>
  <si>
    <t>105.01.20</t>
    <phoneticPr fontId="2" type="noConversion"/>
  </si>
  <si>
    <t>105.01.25出售</t>
    <phoneticPr fontId="2" type="noConversion"/>
  </si>
  <si>
    <t>TOYOTA</t>
    <phoneticPr fontId="2" type="noConversion"/>
  </si>
  <si>
    <t>104.12.29</t>
    <phoneticPr fontId="2" type="noConversion"/>
  </si>
  <si>
    <t xml:space="preserve"> 2002/10</t>
    <phoneticPr fontId="2" type="noConversion"/>
  </si>
  <si>
    <t>105.01.29出售</t>
    <phoneticPr fontId="2" type="noConversion"/>
  </si>
  <si>
    <t>義成</t>
    <phoneticPr fontId="2" type="noConversion"/>
  </si>
  <si>
    <t>新麗</t>
    <phoneticPr fontId="2" type="noConversion"/>
  </si>
  <si>
    <t>6FBR18-31105</t>
    <phoneticPr fontId="2" type="noConversion"/>
  </si>
  <si>
    <t>105.02.23</t>
    <phoneticPr fontId="2" type="noConversion"/>
  </si>
  <si>
    <t>48V/2001.01</t>
    <phoneticPr fontId="2" type="noConversion"/>
  </si>
  <si>
    <t>進鑫</t>
    <phoneticPr fontId="2" type="noConversion"/>
  </si>
  <si>
    <t>TADANO</t>
    <phoneticPr fontId="2" type="noConversion"/>
  </si>
  <si>
    <t>AC-45-1-80103</t>
    <phoneticPr fontId="2" type="noConversion"/>
  </si>
  <si>
    <t>取料台車</t>
    <phoneticPr fontId="2" type="noConversion"/>
  </si>
  <si>
    <t>6FBR15-30283</t>
    <phoneticPr fontId="2" type="noConversion"/>
  </si>
  <si>
    <t>105.03.03</t>
    <phoneticPr fontId="2" type="noConversion"/>
  </si>
  <si>
    <t>6FBR10-31452</t>
    <phoneticPr fontId="2" type="noConversion"/>
  </si>
  <si>
    <t>48V/2000.09</t>
    <phoneticPr fontId="2" type="noConversion"/>
  </si>
  <si>
    <t>6FBR14-30252</t>
    <phoneticPr fontId="2" type="noConversion"/>
  </si>
  <si>
    <t>6FBR15-34032</t>
    <phoneticPr fontId="2" type="noConversion"/>
  </si>
  <si>
    <t>健騰</t>
    <phoneticPr fontId="2" type="noConversion"/>
  </si>
  <si>
    <t>105.03.03出售</t>
    <phoneticPr fontId="2" type="noConversion"/>
  </si>
  <si>
    <t>105.01.10</t>
    <phoneticPr fontId="2" type="noConversion"/>
  </si>
  <si>
    <t>三向</t>
    <phoneticPr fontId="2" type="noConversion"/>
  </si>
  <si>
    <t>48V/1999.04</t>
    <phoneticPr fontId="2" type="noConversion"/>
  </si>
  <si>
    <t>48V/2000.07</t>
    <phoneticPr fontId="2" type="noConversion"/>
  </si>
  <si>
    <t>筌振</t>
    <phoneticPr fontId="2" type="noConversion"/>
  </si>
  <si>
    <t>105.03.01出售</t>
    <phoneticPr fontId="2" type="noConversion"/>
  </si>
  <si>
    <t>105.03.17</t>
    <phoneticPr fontId="2" type="noConversion"/>
  </si>
  <si>
    <t>慶祥</t>
    <phoneticPr fontId="2" type="noConversion"/>
  </si>
  <si>
    <t>105.03.16出售</t>
    <phoneticPr fontId="2" type="noConversion"/>
  </si>
  <si>
    <t>牙叉1米半，三截貨櫃</t>
    <phoneticPr fontId="2" type="noConversion"/>
  </si>
  <si>
    <t>FP01L15-005937</t>
    <phoneticPr fontId="2" type="noConversion"/>
  </si>
  <si>
    <t>598552AA</t>
    <phoneticPr fontId="2" type="noConversion"/>
  </si>
  <si>
    <t>彰一興</t>
    <phoneticPr fontId="2" type="noConversion"/>
  </si>
  <si>
    <t>105.03.22出售</t>
    <phoneticPr fontId="2" type="noConversion"/>
  </si>
  <si>
    <t>5FD25-73633</t>
    <phoneticPr fontId="2" type="noConversion"/>
  </si>
  <si>
    <t>105.03.25</t>
    <phoneticPr fontId="2" type="noConversion"/>
  </si>
  <si>
    <t>WGF03A40U-001175</t>
    <phoneticPr fontId="2" type="noConversion"/>
  </si>
  <si>
    <t>105.03.29</t>
    <phoneticPr fontId="2" type="noConversion"/>
  </si>
  <si>
    <t>印象行</t>
    <phoneticPr fontId="2" type="noConversion"/>
  </si>
  <si>
    <t>105.04.07出貨</t>
    <phoneticPr fontId="2" type="noConversion"/>
  </si>
  <si>
    <t>雙霖</t>
    <phoneticPr fontId="2" type="noConversion"/>
  </si>
  <si>
    <t>雷歐</t>
    <phoneticPr fontId="2" type="noConversion"/>
  </si>
  <si>
    <t>103.05.13</t>
    <phoneticPr fontId="2" type="noConversion"/>
  </si>
  <si>
    <t>105.03.22</t>
    <phoneticPr fontId="2" type="noConversion"/>
  </si>
  <si>
    <t>105.04.01出貨</t>
    <phoneticPr fontId="2" type="noConversion"/>
  </si>
  <si>
    <t>(A508FD25)  8FD25-39758</t>
    <phoneticPr fontId="2" type="noConversion"/>
  </si>
  <si>
    <t>2014/03  三截</t>
    <phoneticPr fontId="2" type="noConversion"/>
  </si>
  <si>
    <t>TOYOTA</t>
    <phoneticPr fontId="2" type="noConversion"/>
  </si>
  <si>
    <t>RFBA12-10079</t>
    <phoneticPr fontId="2" type="noConversion"/>
  </si>
  <si>
    <t>105.04.14出貨</t>
    <phoneticPr fontId="2" type="noConversion"/>
  </si>
  <si>
    <t>林永修</t>
    <phoneticPr fontId="2" type="noConversion"/>
  </si>
  <si>
    <t>貿鴻</t>
    <phoneticPr fontId="2" type="noConversion"/>
  </si>
  <si>
    <t>租賃客戶</t>
    <phoneticPr fontId="2" type="noConversion"/>
  </si>
  <si>
    <t>座式柴油</t>
    <phoneticPr fontId="2" type="noConversion"/>
  </si>
  <si>
    <t>48V/1997</t>
    <phoneticPr fontId="2" type="noConversion"/>
  </si>
  <si>
    <t>7FBR18-15050</t>
    <phoneticPr fontId="2" type="noConversion"/>
  </si>
  <si>
    <t>105.05.10</t>
    <phoneticPr fontId="2" type="noConversion"/>
  </si>
  <si>
    <t>48V/1999.07</t>
    <phoneticPr fontId="2" type="noConversion"/>
  </si>
  <si>
    <t>105.05.24</t>
    <phoneticPr fontId="2" type="noConversion"/>
  </si>
  <si>
    <t>24V/220V/30A</t>
    <phoneticPr fontId="2" type="noConversion"/>
  </si>
  <si>
    <t>龍昌</t>
    <phoneticPr fontId="2" type="noConversion"/>
  </si>
  <si>
    <t>105.05.17出貨</t>
    <phoneticPr fontId="2" type="noConversion"/>
  </si>
  <si>
    <t>未附進口報單.合約</t>
    <phoneticPr fontId="2" type="noConversion"/>
  </si>
  <si>
    <t>順隆花生</t>
    <phoneticPr fontId="2" type="noConversion"/>
  </si>
  <si>
    <t>105.06.02出貨</t>
    <phoneticPr fontId="2" type="noConversion"/>
  </si>
  <si>
    <t>B110 LPE200/8-6146485</t>
    <phoneticPr fontId="2" type="noConversion"/>
  </si>
  <si>
    <t>埕銪</t>
    <phoneticPr fontId="2" type="noConversion"/>
  </si>
  <si>
    <t>2002.11/48V</t>
    <phoneticPr fontId="2" type="noConversion"/>
  </si>
  <si>
    <t>7FBRK10-10435</t>
    <phoneticPr fontId="2" type="noConversion"/>
  </si>
  <si>
    <t>105.06.17</t>
    <phoneticPr fontId="2" type="noConversion"/>
  </si>
  <si>
    <t>105.06.16</t>
    <phoneticPr fontId="2" type="noConversion"/>
  </si>
  <si>
    <t>48V/2003.04</t>
    <phoneticPr fontId="2" type="noConversion"/>
  </si>
  <si>
    <t>7FBR15-16042</t>
    <phoneticPr fontId="2" type="noConversion"/>
  </si>
  <si>
    <t>二截</t>
    <phoneticPr fontId="2" type="noConversion"/>
  </si>
  <si>
    <t>105.06.18出貨</t>
    <phoneticPr fontId="2" type="noConversion"/>
  </si>
  <si>
    <t>105.06.20</t>
    <phoneticPr fontId="2" type="noConversion"/>
  </si>
  <si>
    <t>座式電動</t>
    <phoneticPr fontId="2" type="noConversion"/>
  </si>
  <si>
    <t>TCM</t>
    <phoneticPr fontId="2" type="noConversion"/>
  </si>
  <si>
    <t>FB10H15-72S00238</t>
    <phoneticPr fontId="2" type="noConversion"/>
  </si>
  <si>
    <t>大詠城</t>
    <phoneticPr fontId="2" type="noConversion"/>
  </si>
  <si>
    <t>105.06.17出貨</t>
    <phoneticPr fontId="2" type="noConversion"/>
  </si>
  <si>
    <t>沒報單</t>
    <phoneticPr fontId="2" type="noConversion"/>
  </si>
  <si>
    <t>玉宏</t>
    <phoneticPr fontId="2" type="noConversion"/>
  </si>
  <si>
    <t>105.06.23出貨</t>
    <phoneticPr fontId="2" type="noConversion"/>
  </si>
  <si>
    <t>6FD45-11506</t>
    <phoneticPr fontId="2" type="noConversion"/>
  </si>
  <si>
    <t>認證貼紙</t>
    <phoneticPr fontId="2" type="noConversion"/>
  </si>
  <si>
    <t>報單</t>
    <phoneticPr fontId="2" type="noConversion"/>
  </si>
  <si>
    <r>
      <rPr>
        <sz val="12"/>
        <rFont val="新細明體"/>
        <family val="1"/>
        <charset val="136"/>
      </rPr>
      <t>6FD25-24654</t>
    </r>
    <r>
      <rPr>
        <b/>
        <sz val="12"/>
        <rFont val="新細明體"/>
        <family val="1"/>
        <charset val="136"/>
      </rPr>
      <t xml:space="preserve"> 加配重至3.0 前四輪</t>
    </r>
    <phoneticPr fontId="2" type="noConversion"/>
  </si>
  <si>
    <t>久龍</t>
    <phoneticPr fontId="2" type="noConversion"/>
  </si>
  <si>
    <t>105.06.28出貨</t>
    <phoneticPr fontId="2" type="noConversion"/>
  </si>
  <si>
    <t>偉辰</t>
    <phoneticPr fontId="2" type="noConversion"/>
  </si>
  <si>
    <t>105.06.24出貨</t>
    <phoneticPr fontId="2" type="noConversion"/>
  </si>
  <si>
    <t>振有</t>
    <phoneticPr fontId="2" type="noConversion"/>
  </si>
  <si>
    <t>105.07.18出貨</t>
    <phoneticPr fontId="2" type="noConversion"/>
  </si>
  <si>
    <t>源宏益</t>
    <phoneticPr fontId="2" type="noConversion"/>
  </si>
  <si>
    <t>FD25P-2IC5FCA</t>
    <phoneticPr fontId="2" type="noConversion"/>
  </si>
  <si>
    <t>從維修廠商過去</t>
    <phoneticPr fontId="2" type="noConversion"/>
  </si>
  <si>
    <t>105.07.15出貨</t>
    <phoneticPr fontId="2" type="noConversion"/>
  </si>
  <si>
    <t>昆揚</t>
    <phoneticPr fontId="2" type="noConversion"/>
  </si>
  <si>
    <t>105.07.21出貨</t>
    <phoneticPr fontId="2" type="noConversion"/>
  </si>
  <si>
    <r>
      <t>5FD15</t>
    </r>
    <r>
      <rPr>
        <sz val="12"/>
        <rFont val="新細明體"/>
        <family val="1"/>
        <charset val="136"/>
      </rPr>
      <t>-17487</t>
    </r>
    <phoneticPr fontId="2" type="noConversion"/>
  </si>
  <si>
    <r>
      <t>4JG2FD25</t>
    </r>
    <r>
      <rPr>
        <b/>
        <sz val="12"/>
        <rFont val="新細明體"/>
        <family val="1"/>
        <charset val="136"/>
      </rPr>
      <t xml:space="preserve">   </t>
    </r>
    <r>
      <rPr>
        <sz val="12"/>
        <rFont val="新細明體"/>
        <family val="1"/>
        <charset val="136"/>
      </rPr>
      <t>引擊NO.J294522    製造NO.D21298</t>
    </r>
    <phoneticPr fontId="2" type="noConversion"/>
  </si>
  <si>
    <t>FD25-1IC5FCA</t>
    <phoneticPr fontId="2" type="noConversion"/>
  </si>
  <si>
    <t>7FBH15-55534</t>
    <phoneticPr fontId="2" type="noConversion"/>
  </si>
  <si>
    <t>陳俊合</t>
    <phoneticPr fontId="2" type="noConversion"/>
  </si>
  <si>
    <t>105.07.25出貨</t>
    <phoneticPr fontId="2" type="noConversion"/>
  </si>
  <si>
    <t>進鑫</t>
    <phoneticPr fontId="2" type="noConversion"/>
  </si>
  <si>
    <t>座式柴油</t>
    <phoneticPr fontId="2" type="noConversion"/>
  </si>
  <si>
    <t>TCM</t>
    <phoneticPr fontId="2" type="noConversion"/>
  </si>
  <si>
    <t>105.07.21</t>
    <phoneticPr fontId="2" type="noConversion"/>
  </si>
  <si>
    <t>6FBRJ9-10562</t>
    <phoneticPr fontId="2" type="noConversion"/>
  </si>
  <si>
    <t>105.08.04</t>
    <phoneticPr fontId="2" type="noConversion"/>
  </si>
  <si>
    <t>大詠城</t>
    <phoneticPr fontId="2" type="noConversion"/>
  </si>
  <si>
    <t>105.07.31出貨</t>
    <phoneticPr fontId="2" type="noConversion"/>
  </si>
  <si>
    <t>104.03.06出售</t>
    <phoneticPr fontId="2" type="noConversion"/>
  </si>
  <si>
    <t>慶豐富</t>
    <phoneticPr fontId="2" type="noConversion"/>
  </si>
  <si>
    <t>大欣環保</t>
    <phoneticPr fontId="2" type="noConversion"/>
  </si>
  <si>
    <t>7FB15-83085</t>
    <phoneticPr fontId="2" type="noConversion"/>
  </si>
  <si>
    <t>源泓</t>
    <phoneticPr fontId="2" type="noConversion"/>
  </si>
  <si>
    <t>立式電動</t>
    <phoneticPr fontId="2" type="noConversion"/>
  </si>
  <si>
    <t>小松</t>
    <phoneticPr fontId="2" type="noConversion"/>
  </si>
  <si>
    <t>105.05.27</t>
    <phoneticPr fontId="2" type="noConversion"/>
  </si>
  <si>
    <t>沒報單</t>
    <phoneticPr fontId="2" type="noConversion"/>
  </si>
  <si>
    <t>進鑫</t>
    <phoneticPr fontId="2" type="noConversion"/>
  </si>
  <si>
    <t>退貨</t>
    <phoneticPr fontId="2" type="noConversion"/>
  </si>
  <si>
    <t>105.09.02</t>
    <phoneticPr fontId="2" type="noConversion"/>
  </si>
  <si>
    <t>6FBR13-30226</t>
    <phoneticPr fontId="2" type="noConversion"/>
  </si>
  <si>
    <t>6FBR13-10662</t>
    <phoneticPr fontId="2" type="noConversion"/>
  </si>
  <si>
    <t>6FBR13-10179</t>
    <phoneticPr fontId="2" type="noConversion"/>
  </si>
  <si>
    <t>105.09.09出貨</t>
    <phoneticPr fontId="2" type="noConversion"/>
  </si>
  <si>
    <t>105.09.10</t>
    <phoneticPr fontId="2" type="noConversion"/>
  </si>
  <si>
    <t>6FB15   6FB18-22954</t>
    <phoneticPr fontId="2" type="noConversion"/>
  </si>
  <si>
    <t>典洋</t>
    <phoneticPr fontId="2" type="noConversion"/>
  </si>
  <si>
    <t>105.09.02出貨</t>
    <phoneticPr fontId="2" type="noConversion"/>
  </si>
  <si>
    <t>正恩</t>
    <phoneticPr fontId="2" type="noConversion"/>
  </si>
  <si>
    <t>101.12.11</t>
    <phoneticPr fontId="2" type="noConversion"/>
  </si>
  <si>
    <t>105.10.17出貨</t>
    <phoneticPr fontId="2" type="noConversion"/>
  </si>
  <si>
    <t>正敏</t>
    <phoneticPr fontId="2" type="noConversion"/>
  </si>
  <si>
    <t>105.10.14</t>
    <phoneticPr fontId="2" type="noConversion"/>
  </si>
  <si>
    <t>105.10.14出貨</t>
    <phoneticPr fontId="2" type="noConversion"/>
  </si>
  <si>
    <t>換全新電瓶</t>
    <phoneticPr fontId="2" type="noConversion"/>
  </si>
  <si>
    <t>未給報單</t>
    <phoneticPr fontId="2" type="noConversion"/>
  </si>
  <si>
    <t>6FBR15-34519</t>
    <phoneticPr fontId="2" type="noConversion"/>
  </si>
  <si>
    <t>105.10.24</t>
    <phoneticPr fontId="2" type="noConversion"/>
  </si>
  <si>
    <t>6FBR30-30042</t>
    <phoneticPr fontId="2" type="noConversion"/>
  </si>
  <si>
    <t>6FBR15-30614</t>
    <phoneticPr fontId="2" type="noConversion"/>
  </si>
  <si>
    <t>2000/11</t>
    <phoneticPr fontId="2" type="noConversion"/>
  </si>
  <si>
    <t>沒報單</t>
    <phoneticPr fontId="2" type="noConversion"/>
  </si>
  <si>
    <t>1995"</t>
    <phoneticPr fontId="2" type="noConversion"/>
  </si>
  <si>
    <t>105.10.05出貨</t>
    <phoneticPr fontId="2" type="noConversion"/>
  </si>
  <si>
    <t>貼紙報單</t>
    <phoneticPr fontId="2" type="noConversion"/>
  </si>
  <si>
    <t>高空作業車</t>
    <phoneticPr fontId="2" type="noConversion"/>
  </si>
  <si>
    <t>GENIE</t>
    <phoneticPr fontId="2" type="noConversion"/>
  </si>
  <si>
    <t>GS-2032</t>
    <phoneticPr fontId="2" type="noConversion"/>
  </si>
  <si>
    <t>105.11.15</t>
    <phoneticPr fontId="2" type="noConversion"/>
  </si>
  <si>
    <t>玉佃</t>
    <phoneticPr fontId="2" type="noConversion"/>
  </si>
  <si>
    <t>105.11.16出貨</t>
    <phoneticPr fontId="2" type="noConversion"/>
  </si>
  <si>
    <t>FD40Z7-24X13356</t>
    <phoneticPr fontId="2" type="noConversion"/>
  </si>
  <si>
    <t>進口報單</t>
    <phoneticPr fontId="2" type="noConversion"/>
  </si>
  <si>
    <t>105.11.24出貨</t>
    <phoneticPr fontId="2" type="noConversion"/>
  </si>
  <si>
    <t>2004</t>
    <phoneticPr fontId="2" type="noConversion"/>
  </si>
  <si>
    <t>LSY</t>
    <phoneticPr fontId="2" type="noConversion"/>
  </si>
  <si>
    <t>華展</t>
    <phoneticPr fontId="2" type="noConversion"/>
  </si>
  <si>
    <t>105.11.25出貨</t>
    <phoneticPr fontId="2" type="noConversion"/>
  </si>
  <si>
    <t>無報單</t>
    <phoneticPr fontId="2" type="noConversion"/>
  </si>
  <si>
    <t>大阪</t>
    <phoneticPr fontId="2" type="noConversion"/>
  </si>
  <si>
    <t>BT</t>
    <phoneticPr fontId="2" type="noConversion"/>
  </si>
  <si>
    <t>LPE200-917490</t>
    <phoneticPr fontId="2" type="noConversion"/>
  </si>
  <si>
    <t>2005年</t>
    <phoneticPr fontId="2" type="noConversion"/>
  </si>
  <si>
    <t>6FBR15-34077</t>
    <phoneticPr fontId="2" type="noConversion"/>
  </si>
  <si>
    <t>105.12.14出貨</t>
    <phoneticPr fontId="2" type="noConversion"/>
  </si>
  <si>
    <t>6FD25-30475</t>
    <phoneticPr fontId="2" type="noConversion"/>
  </si>
  <si>
    <t>105.12.15</t>
    <phoneticPr fontId="2" type="noConversion"/>
  </si>
  <si>
    <t>慶豐富</t>
    <phoneticPr fontId="2" type="noConversion"/>
  </si>
  <si>
    <t>6FBR18-30955</t>
  </si>
  <si>
    <t>2000/08</t>
    <phoneticPr fontId="2" type="noConversion"/>
  </si>
  <si>
    <t>1998/08</t>
    <phoneticPr fontId="2" type="noConversion"/>
  </si>
  <si>
    <t>其他客戶</t>
    <phoneticPr fontId="2" type="noConversion"/>
  </si>
  <si>
    <t>順宥</t>
    <phoneticPr fontId="2" type="noConversion"/>
  </si>
  <si>
    <t>105.11.18</t>
    <phoneticPr fontId="2" type="noConversion"/>
  </si>
  <si>
    <t>潔安</t>
    <phoneticPr fontId="2" type="noConversion"/>
  </si>
  <si>
    <t>106.01.03</t>
    <phoneticPr fontId="2" type="noConversion"/>
  </si>
  <si>
    <t>活力牌</t>
    <phoneticPr fontId="2" type="noConversion"/>
  </si>
  <si>
    <t>103.09.26</t>
    <phoneticPr fontId="2" type="noConversion"/>
  </si>
  <si>
    <t>103.10.08</t>
    <phoneticPr fontId="2" type="noConversion"/>
  </si>
  <si>
    <t>103.10.18</t>
    <phoneticPr fontId="2" type="noConversion"/>
  </si>
  <si>
    <t>立式電動</t>
    <phoneticPr fontId="2" type="noConversion"/>
  </si>
  <si>
    <t>TOYOTA</t>
    <phoneticPr fontId="2" type="noConversion"/>
  </si>
  <si>
    <t>嘉振</t>
    <phoneticPr fontId="2" type="noConversion"/>
  </si>
  <si>
    <t>TOYOTA</t>
    <phoneticPr fontId="2" type="noConversion"/>
  </si>
  <si>
    <t>振楠</t>
    <phoneticPr fontId="2" type="noConversion"/>
  </si>
  <si>
    <t>1/12進口報單寄出</t>
    <phoneticPr fontId="2" type="noConversion"/>
  </si>
  <si>
    <t>座式柴油</t>
    <phoneticPr fontId="2" type="noConversion"/>
  </si>
  <si>
    <t>TOYOTA</t>
    <phoneticPr fontId="2" type="noConversion"/>
  </si>
  <si>
    <t>02-6FD25-20231</t>
    <phoneticPr fontId="2" type="noConversion"/>
  </si>
  <si>
    <t>105.12.22</t>
    <phoneticPr fontId="2" type="noConversion"/>
  </si>
  <si>
    <t>立式電動</t>
    <phoneticPr fontId="2" type="noConversion"/>
  </si>
  <si>
    <t>6FBR15-10524</t>
    <phoneticPr fontId="2" type="noConversion"/>
  </si>
  <si>
    <t>105.12.16</t>
    <phoneticPr fontId="2" type="noConversion"/>
  </si>
  <si>
    <t>106.01.03</t>
    <phoneticPr fontId="2" type="noConversion"/>
  </si>
  <si>
    <t>50-8FD25-14046</t>
    <phoneticPr fontId="2" type="noConversion"/>
  </si>
  <si>
    <t>2007/10</t>
    <phoneticPr fontId="2" type="noConversion"/>
  </si>
  <si>
    <t>進鑫</t>
    <phoneticPr fontId="2" type="noConversion"/>
  </si>
  <si>
    <t>座式汽油</t>
    <phoneticPr fontId="2" type="noConversion"/>
  </si>
  <si>
    <t>106.01.18</t>
    <phoneticPr fontId="2" type="noConversion"/>
  </si>
  <si>
    <t>106.01.23</t>
    <phoneticPr fontId="2" type="noConversion"/>
  </si>
  <si>
    <t>106.01.25</t>
    <phoneticPr fontId="2" type="noConversion"/>
  </si>
  <si>
    <t>2006</t>
    <phoneticPr fontId="2" type="noConversion"/>
  </si>
  <si>
    <t>2000/12</t>
    <phoneticPr fontId="2" type="noConversion"/>
  </si>
  <si>
    <t>1998/02,左右側移</t>
    <phoneticPr fontId="2" type="noConversion"/>
  </si>
  <si>
    <t>A605FD25-41371</t>
    <phoneticPr fontId="2" type="noConversion"/>
  </si>
  <si>
    <t>其他客戶     雅好</t>
    <phoneticPr fontId="2" type="noConversion"/>
  </si>
  <si>
    <t>振豪</t>
    <phoneticPr fontId="2" type="noConversion"/>
  </si>
  <si>
    <t>106.02.15出貨</t>
    <phoneticPr fontId="2" type="noConversion"/>
  </si>
  <si>
    <t>慶豐富</t>
    <phoneticPr fontId="2" type="noConversion"/>
  </si>
  <si>
    <t>座式柴油</t>
    <phoneticPr fontId="2" type="noConversion"/>
  </si>
  <si>
    <t>KOMATSU</t>
    <phoneticPr fontId="2" type="noConversion"/>
  </si>
  <si>
    <t>FD25-12 87BXA-1121</t>
    <phoneticPr fontId="2" type="noConversion"/>
  </si>
  <si>
    <t>106.02.20</t>
    <phoneticPr fontId="2" type="noConversion"/>
  </si>
  <si>
    <t>6FB15-21054</t>
    <phoneticPr fontId="2" type="noConversion"/>
  </si>
  <si>
    <t>BT</t>
    <phoneticPr fontId="2" type="noConversion"/>
  </si>
  <si>
    <t>NYK</t>
    <phoneticPr fontId="2" type="noConversion"/>
  </si>
  <si>
    <t>鏵鉅</t>
    <phoneticPr fontId="2" type="noConversion"/>
  </si>
  <si>
    <t>106.02.14出貨</t>
    <phoneticPr fontId="2" type="noConversion"/>
  </si>
  <si>
    <t>報單</t>
    <phoneticPr fontId="2" type="noConversion"/>
  </si>
  <si>
    <t>80-8FD25-60076</t>
    <phoneticPr fontId="2" type="noConversion"/>
  </si>
  <si>
    <t>106.03.08換車</t>
    <phoneticPr fontId="2" type="noConversion"/>
  </si>
  <si>
    <t>106.03.08出貨</t>
    <phoneticPr fontId="2" type="noConversion"/>
  </si>
  <si>
    <t>106.02.17</t>
    <phoneticPr fontId="2" type="noConversion"/>
  </si>
  <si>
    <t>FD25-12 87BXNF-1021</t>
    <phoneticPr fontId="2" type="noConversion"/>
  </si>
  <si>
    <t>106.02.20</t>
    <phoneticPr fontId="2" type="noConversion"/>
  </si>
  <si>
    <t>一期3樓</t>
  </si>
  <si>
    <t>良南</t>
    <phoneticPr fontId="2" type="noConversion"/>
  </si>
  <si>
    <t>106.03.21出貨</t>
    <phoneticPr fontId="2" type="noConversion"/>
  </si>
  <si>
    <t>報單</t>
    <phoneticPr fontId="2" type="noConversion"/>
  </si>
  <si>
    <t>報單貼紙</t>
    <phoneticPr fontId="2" type="noConversion"/>
  </si>
  <si>
    <t>鴻銘</t>
    <phoneticPr fontId="2" type="noConversion"/>
  </si>
  <si>
    <t>7FBH25-33860</t>
    <phoneticPr fontId="2" type="noConversion"/>
  </si>
  <si>
    <t>恆智-舊型</t>
    <phoneticPr fontId="2" type="noConversion"/>
  </si>
  <si>
    <t>雙霖</t>
    <phoneticPr fontId="2" type="noConversion"/>
  </si>
  <si>
    <t>TOYOTA</t>
    <phoneticPr fontId="2" type="noConversion"/>
  </si>
  <si>
    <t>106.03.28-107.03.27</t>
    <phoneticPr fontId="2" type="noConversion"/>
  </si>
  <si>
    <t>立式電動</t>
    <phoneticPr fontId="2" type="noConversion"/>
  </si>
  <si>
    <t>三截貨櫃、左右側移 、1996</t>
    <phoneticPr fontId="2" type="noConversion"/>
  </si>
  <si>
    <t>106.02.08</t>
    <phoneticPr fontId="2" type="noConversion"/>
  </si>
  <si>
    <t>106.02.08-107.02.07</t>
    <phoneticPr fontId="2" type="noConversion"/>
  </si>
  <si>
    <t>99.08.05</t>
    <phoneticPr fontId="2" type="noConversion"/>
  </si>
  <si>
    <t xml:space="preserve">左右側移/紅外線調整        </t>
    <phoneticPr fontId="2" type="noConversion"/>
  </si>
  <si>
    <t>台鑫</t>
    <phoneticPr fontId="2" type="noConversion"/>
  </si>
  <si>
    <t>7FD25-27730</t>
    <phoneticPr fontId="2" type="noConversion"/>
  </si>
  <si>
    <t>106.04.10</t>
    <phoneticPr fontId="2" type="noConversion"/>
  </si>
  <si>
    <t>潔安環保</t>
    <phoneticPr fontId="2" type="noConversion"/>
  </si>
  <si>
    <t>5FGL20-10383</t>
  </si>
  <si>
    <t>座式汽油</t>
    <phoneticPr fontId="2" type="noConversion"/>
  </si>
  <si>
    <t>106.01.18</t>
    <phoneticPr fontId="2" type="noConversion"/>
  </si>
  <si>
    <t>EDM-F18C-74113-612A01013</t>
  </si>
  <si>
    <t>MITSUBISHI</t>
    <phoneticPr fontId="2" type="noConversion"/>
  </si>
  <si>
    <t>2014/12</t>
    <phoneticPr fontId="2" type="noConversion"/>
  </si>
  <si>
    <t>A508FDJ30(35)-30110</t>
    <phoneticPr fontId="2" type="noConversion"/>
  </si>
  <si>
    <t>2008</t>
    <phoneticPr fontId="2" type="noConversion"/>
  </si>
  <si>
    <t>2009/09</t>
    <phoneticPr fontId="2" type="noConversion"/>
  </si>
  <si>
    <t>106.03.15</t>
    <phoneticPr fontId="2" type="noConversion"/>
  </si>
  <si>
    <t>FJ02-302742</t>
    <phoneticPr fontId="2" type="noConversion"/>
  </si>
  <si>
    <t>106.04.13</t>
    <phoneticPr fontId="2" type="noConversion"/>
  </si>
  <si>
    <t>106.04.12</t>
  </si>
  <si>
    <t>大阪</t>
    <phoneticPr fontId="2" type="noConversion"/>
  </si>
  <si>
    <t>座式柴油</t>
    <phoneticPr fontId="2" type="noConversion"/>
  </si>
  <si>
    <t>TOYOTA</t>
    <phoneticPr fontId="2" type="noConversion"/>
  </si>
  <si>
    <t>A5FD18-63329</t>
    <phoneticPr fontId="2" type="noConversion"/>
  </si>
  <si>
    <t xml:space="preserve">二截貨櫃      </t>
    <phoneticPr fontId="2" type="noConversion"/>
  </si>
  <si>
    <t>沒報單</t>
    <phoneticPr fontId="2" type="noConversion"/>
  </si>
  <si>
    <t>6FBRS15-31287</t>
    <phoneticPr fontId="2" type="noConversion"/>
  </si>
  <si>
    <t>8FD18-11336</t>
    <phoneticPr fontId="2" type="noConversion"/>
  </si>
  <si>
    <t>2007.08</t>
    <phoneticPr fontId="2" type="noConversion"/>
  </si>
  <si>
    <t>報單貼紙</t>
    <phoneticPr fontId="2" type="noConversion"/>
  </si>
  <si>
    <t>NICHIYU</t>
    <phoneticPr fontId="2" type="noConversion"/>
  </si>
  <si>
    <t>106.04.24</t>
    <phoneticPr fontId="2" type="noConversion"/>
  </si>
  <si>
    <t>LSY</t>
    <phoneticPr fontId="2" type="noConversion"/>
  </si>
  <si>
    <t>106.05.02</t>
    <phoneticPr fontId="2" type="noConversion"/>
  </si>
  <si>
    <t>沒報單</t>
    <phoneticPr fontId="2" type="noConversion"/>
  </si>
  <si>
    <t>FB5P-50-250-211AC1038</t>
    <phoneticPr fontId="2" type="noConversion"/>
  </si>
  <si>
    <t>報單貼紙</t>
    <phoneticPr fontId="2" type="noConversion"/>
  </si>
  <si>
    <t>報單</t>
    <phoneticPr fontId="2" type="noConversion"/>
  </si>
  <si>
    <t>2003</t>
    <phoneticPr fontId="2" type="noConversion"/>
  </si>
  <si>
    <t>本廠</t>
    <phoneticPr fontId="2" type="noConversion"/>
  </si>
  <si>
    <t>二廠</t>
    <phoneticPr fontId="2" type="noConversion"/>
  </si>
  <si>
    <t>106.05.09</t>
    <phoneticPr fontId="2" type="noConversion"/>
  </si>
  <si>
    <t>未收到</t>
    <phoneticPr fontId="2" type="noConversion"/>
  </si>
  <si>
    <t>106.05.16</t>
    <phoneticPr fontId="2" type="noConversion"/>
  </si>
  <si>
    <t>2013.02</t>
    <phoneticPr fontId="2" type="noConversion"/>
  </si>
  <si>
    <t>燿華宜蘭</t>
    <phoneticPr fontId="2" type="noConversion"/>
  </si>
  <si>
    <t>報單貼紙</t>
    <phoneticPr fontId="2" type="noConversion"/>
  </si>
  <si>
    <t>雙霖</t>
    <phoneticPr fontId="2" type="noConversion"/>
  </si>
  <si>
    <t xml:space="preserve">TOYOTA </t>
    <phoneticPr fontId="2" type="noConversion"/>
  </si>
  <si>
    <t>106.05.22-107.05.21</t>
    <phoneticPr fontId="2" type="noConversion"/>
  </si>
  <si>
    <t>106.06.02</t>
    <phoneticPr fontId="2" type="noConversion"/>
  </si>
  <si>
    <t>106.06.09</t>
    <phoneticPr fontId="2" type="noConversion"/>
  </si>
  <si>
    <t>FD30T4-3B900168</t>
    <phoneticPr fontId="2" type="noConversion"/>
  </si>
  <si>
    <t>106.05.16</t>
    <phoneticPr fontId="2" type="noConversion"/>
  </si>
  <si>
    <t>大阪</t>
    <phoneticPr fontId="2" type="noConversion"/>
  </si>
  <si>
    <t>BT</t>
    <phoneticPr fontId="2" type="noConversion"/>
  </si>
  <si>
    <t>LPE200-8-923049</t>
    <phoneticPr fontId="2" type="noConversion"/>
  </si>
  <si>
    <t>104.01.09</t>
    <phoneticPr fontId="2" type="noConversion"/>
  </si>
  <si>
    <t>2005年</t>
    <phoneticPr fontId="2" type="noConversion"/>
  </si>
  <si>
    <t>106.03.02</t>
  </si>
  <si>
    <t>106.03.02</t>
    <phoneticPr fontId="2" type="noConversion"/>
  </si>
  <si>
    <t>合計</t>
    <phoneticPr fontId="2" type="noConversion"/>
  </si>
  <si>
    <t>合計</t>
    <phoneticPr fontId="2" type="noConversion"/>
  </si>
  <si>
    <t>106.06.13出貨</t>
    <phoneticPr fontId="2" type="noConversion"/>
  </si>
  <si>
    <t>永阡鑫</t>
    <phoneticPr fontId="2" type="noConversion"/>
  </si>
  <si>
    <t>106.06.13出貨</t>
    <phoneticPr fontId="2" type="noConversion"/>
  </si>
  <si>
    <t>.三截.左右側移</t>
    <phoneticPr fontId="2" type="noConversion"/>
  </si>
  <si>
    <t>106.06.09</t>
    <phoneticPr fontId="2" type="noConversion"/>
  </si>
  <si>
    <t>華展</t>
    <phoneticPr fontId="2" type="noConversion"/>
  </si>
  <si>
    <t>106.06.16出貨</t>
    <phoneticPr fontId="2" type="noConversion"/>
  </si>
  <si>
    <t>FHD25T3-2S500507</t>
    <phoneticPr fontId="2" type="noConversion"/>
  </si>
  <si>
    <t>106.06.02</t>
    <phoneticPr fontId="2" type="noConversion"/>
  </si>
  <si>
    <t>保固15個月</t>
    <phoneticPr fontId="2" type="noConversion"/>
  </si>
  <si>
    <t>6FD25-13059</t>
    <phoneticPr fontId="2" type="noConversion"/>
  </si>
  <si>
    <t>1994</t>
    <phoneticPr fontId="2" type="noConversion"/>
  </si>
  <si>
    <t>林口</t>
    <phoneticPr fontId="2" type="noConversion"/>
  </si>
  <si>
    <t>106.06.27-107.06.26</t>
    <phoneticPr fontId="2" type="noConversion"/>
  </si>
  <si>
    <t>大詠城</t>
    <phoneticPr fontId="2" type="noConversion"/>
  </si>
  <si>
    <t>106.06.17出貨</t>
  </si>
  <si>
    <t>1994.手排.翻牙改貨櫃拱</t>
    <phoneticPr fontId="2" type="noConversion"/>
  </si>
  <si>
    <t xml:space="preserve">BT  110V  </t>
    <phoneticPr fontId="2" type="noConversion"/>
  </si>
  <si>
    <t>106.07.11</t>
    <phoneticPr fontId="2" type="noConversion"/>
  </si>
  <si>
    <t>2009，4尺牙叉</t>
    <phoneticPr fontId="2" type="noConversion"/>
  </si>
  <si>
    <t>羊墡</t>
    <phoneticPr fontId="2" type="noConversion"/>
  </si>
  <si>
    <t>106.07.14出貨</t>
    <phoneticPr fontId="2" type="noConversion"/>
  </si>
  <si>
    <t>BT  220V   6102115</t>
    <phoneticPr fontId="2" type="noConversion"/>
  </si>
  <si>
    <t>106.06.20-107.06.19</t>
    <phoneticPr fontId="2" type="noConversion"/>
  </si>
  <si>
    <t>106.07.18-106.07.17</t>
    <phoneticPr fontId="2" type="noConversion"/>
  </si>
  <si>
    <t>7FDK40-10340</t>
    <phoneticPr fontId="2" type="noConversion"/>
  </si>
  <si>
    <t>106.07.18</t>
    <phoneticPr fontId="2" type="noConversion"/>
  </si>
  <si>
    <t>1999.05  翻牙</t>
    <phoneticPr fontId="2" type="noConversion"/>
  </si>
  <si>
    <t>桃園大園</t>
    <phoneticPr fontId="2" type="noConversion"/>
  </si>
  <si>
    <t>昇葆環保</t>
    <phoneticPr fontId="2" type="noConversion"/>
  </si>
  <si>
    <t>6FBRS18-10235</t>
    <phoneticPr fontId="2" type="noConversion"/>
  </si>
  <si>
    <t>台鑫</t>
    <phoneticPr fontId="2" type="noConversion"/>
  </si>
  <si>
    <t>座式電動</t>
    <phoneticPr fontId="2" type="noConversion"/>
  </si>
  <si>
    <t>TOYOTA</t>
    <phoneticPr fontId="2" type="noConversion"/>
  </si>
  <si>
    <t>106.07.19</t>
    <phoneticPr fontId="2" type="noConversion"/>
  </si>
  <si>
    <t>左右側移</t>
    <phoneticPr fontId="2" type="noConversion"/>
  </si>
  <si>
    <t>106.07.20</t>
    <phoneticPr fontId="2" type="noConversion"/>
  </si>
  <si>
    <t>2011/翻牙</t>
    <phoneticPr fontId="2" type="noConversion"/>
  </si>
  <si>
    <t>106.07.21-106.07.20</t>
    <phoneticPr fontId="2" type="noConversion"/>
  </si>
  <si>
    <t xml:space="preserve">100/12/14出售            </t>
    <phoneticPr fontId="2" type="noConversion"/>
  </si>
  <si>
    <t>FB9P-50-300PFL-212AB0655</t>
    <phoneticPr fontId="2" type="noConversion"/>
  </si>
  <si>
    <t>FBRM9-75-300-121AD7493</t>
    <phoneticPr fontId="2" type="noConversion"/>
  </si>
  <si>
    <t>7FBJ35-13763</t>
    <phoneticPr fontId="2" type="noConversion"/>
  </si>
  <si>
    <t>708FDN30-10419</t>
    <phoneticPr fontId="2" type="noConversion"/>
  </si>
  <si>
    <t>7FD35-50427</t>
    <phoneticPr fontId="2" type="noConversion"/>
  </si>
  <si>
    <t>106.07.11</t>
    <phoneticPr fontId="2" type="noConversion"/>
  </si>
  <si>
    <t>106.07.24-106.07.23</t>
    <phoneticPr fontId="2" type="noConversion"/>
  </si>
  <si>
    <t>2006/平夾</t>
    <phoneticPr fontId="2" type="noConversion"/>
  </si>
  <si>
    <t>進裕</t>
    <phoneticPr fontId="2" type="noConversion"/>
  </si>
  <si>
    <t>8FD20(8FD25)-32743  生鏽車</t>
    <phoneticPr fontId="2" type="noConversion"/>
  </si>
  <si>
    <t>8FD30(8FDJ35)-33071  生鏽車</t>
    <phoneticPr fontId="2" type="noConversion"/>
  </si>
  <si>
    <t>慶豐富</t>
    <phoneticPr fontId="2" type="noConversion"/>
  </si>
  <si>
    <t>106.07.27-106.07.26</t>
    <phoneticPr fontId="2" type="noConversion"/>
  </si>
  <si>
    <t>7FDK40-10340</t>
    <phoneticPr fontId="2" type="noConversion"/>
  </si>
  <si>
    <t>7FBH25-33820</t>
    <phoneticPr fontId="2" type="noConversion"/>
  </si>
  <si>
    <t>106.07.26</t>
    <phoneticPr fontId="2" type="noConversion"/>
  </si>
  <si>
    <t>2008.01/三截</t>
    <phoneticPr fontId="2" type="noConversion"/>
  </si>
  <si>
    <t>報單</t>
    <phoneticPr fontId="2" type="noConversion"/>
  </si>
  <si>
    <t>7FBR10-10236</t>
    <phoneticPr fontId="2" type="noConversion"/>
  </si>
  <si>
    <t>2002.06</t>
    <phoneticPr fontId="2" type="noConversion"/>
  </si>
  <si>
    <t>577929AA</t>
    <phoneticPr fontId="2" type="noConversion"/>
  </si>
  <si>
    <t>2000.12貨櫃</t>
    <phoneticPr fontId="2" type="noConversion"/>
  </si>
  <si>
    <t>FD25-12 87BXNF-1021</t>
    <phoneticPr fontId="2" type="noConversion"/>
  </si>
  <si>
    <t>106.06.02</t>
    <phoneticPr fontId="2" type="noConversion"/>
  </si>
  <si>
    <t>大欣環保</t>
    <phoneticPr fontId="2" type="noConversion"/>
  </si>
  <si>
    <t>嘉義</t>
    <phoneticPr fontId="2" type="noConversion"/>
  </si>
  <si>
    <t>106.07.18-106.07.17</t>
    <phoneticPr fontId="2" type="noConversion"/>
  </si>
  <si>
    <t>翻牙</t>
    <phoneticPr fontId="2" type="noConversion"/>
  </si>
  <si>
    <t>雙霖</t>
    <phoneticPr fontId="2" type="noConversion"/>
  </si>
  <si>
    <t>TOYOTA</t>
    <phoneticPr fontId="2" type="noConversion"/>
  </si>
  <si>
    <t>104.08.20</t>
    <phoneticPr fontId="2" type="noConversion"/>
  </si>
  <si>
    <t>FD45T9-43G01763</t>
    <phoneticPr fontId="2" type="noConversion"/>
  </si>
  <si>
    <t>106.07.31</t>
    <phoneticPr fontId="2" type="noConversion"/>
  </si>
  <si>
    <t>FBRA15-63B-400-131A00758</t>
    <phoneticPr fontId="2" type="noConversion"/>
  </si>
  <si>
    <t>106.07.24出貨</t>
    <phoneticPr fontId="2" type="noConversion"/>
  </si>
  <si>
    <t>6FD25-14089</t>
    <phoneticPr fontId="2" type="noConversion"/>
  </si>
  <si>
    <t>106.08.08-107.08.07</t>
    <phoneticPr fontId="2" type="noConversion"/>
  </si>
  <si>
    <t>報單貼紙</t>
    <phoneticPr fontId="2" type="noConversion"/>
  </si>
  <si>
    <t>1999.08</t>
    <phoneticPr fontId="2" type="noConversion"/>
  </si>
  <si>
    <t>1999.05/翻牙</t>
    <phoneticPr fontId="2" type="noConversion"/>
  </si>
  <si>
    <t>2007/10   48V</t>
    <phoneticPr fontId="2" type="noConversion"/>
  </si>
  <si>
    <t>40-7FB25-11252</t>
    <phoneticPr fontId="2" type="noConversion"/>
  </si>
  <si>
    <t>106.08.17</t>
    <phoneticPr fontId="2" type="noConversion"/>
  </si>
  <si>
    <t>2011.03</t>
    <phoneticPr fontId="2" type="noConversion"/>
  </si>
  <si>
    <t>7FD25-29961</t>
    <phoneticPr fontId="2" type="noConversion"/>
  </si>
  <si>
    <t>2003.10</t>
    <phoneticPr fontId="2" type="noConversion"/>
  </si>
  <si>
    <t>台鑫</t>
    <phoneticPr fontId="2" type="noConversion"/>
  </si>
  <si>
    <t>立式電動</t>
    <phoneticPr fontId="2" type="noConversion"/>
  </si>
  <si>
    <t>TOYOTA</t>
    <phoneticPr fontId="2" type="noConversion"/>
  </si>
  <si>
    <t>106.07.15</t>
    <phoneticPr fontId="2" type="noConversion"/>
  </si>
  <si>
    <t>708FDN30-10419</t>
    <phoneticPr fontId="2" type="noConversion"/>
  </si>
  <si>
    <t>租金</t>
    <phoneticPr fontId="2" type="noConversion"/>
  </si>
  <si>
    <t>2006.翻牙</t>
    <phoneticPr fontId="2" type="noConversion"/>
  </si>
  <si>
    <t>潔安</t>
    <phoneticPr fontId="2" type="noConversion"/>
  </si>
  <si>
    <t>后里</t>
    <phoneticPr fontId="2" type="noConversion"/>
  </si>
  <si>
    <t>106.08.21-107.09.20</t>
    <phoneticPr fontId="2" type="noConversion"/>
  </si>
  <si>
    <t>6FBR15-32265</t>
    <phoneticPr fontId="2" type="noConversion"/>
  </si>
  <si>
    <t>1998.12</t>
    <phoneticPr fontId="2" type="noConversion"/>
  </si>
  <si>
    <t>40-7FB25-11207</t>
    <phoneticPr fontId="2" type="noConversion"/>
  </si>
  <si>
    <t>106.08.18</t>
    <phoneticPr fontId="2" type="noConversion"/>
  </si>
  <si>
    <t>2010</t>
    <phoneticPr fontId="2" type="noConversion"/>
  </si>
  <si>
    <t>1998.07 三截</t>
    <phoneticPr fontId="2" type="noConversion"/>
  </si>
  <si>
    <t>2011.03.翻牙</t>
    <phoneticPr fontId="2" type="noConversion"/>
  </si>
  <si>
    <t>座式電動</t>
    <phoneticPr fontId="2" type="noConversion"/>
  </si>
  <si>
    <t>TOYOTA</t>
    <phoneticPr fontId="2" type="noConversion"/>
  </si>
  <si>
    <t>40-7FB25-11252</t>
    <phoneticPr fontId="2" type="noConversion"/>
  </si>
  <si>
    <t>106.08.17</t>
    <phoneticPr fontId="2" type="noConversion"/>
  </si>
  <si>
    <t>2011.03.翻牙</t>
    <phoneticPr fontId="2" type="noConversion"/>
  </si>
  <si>
    <t>106.08.25</t>
    <phoneticPr fontId="2" type="noConversion"/>
  </si>
  <si>
    <t>2002.04</t>
    <phoneticPr fontId="2" type="noConversion"/>
  </si>
  <si>
    <t>進鑫-典洋</t>
    <phoneticPr fontId="2" type="noConversion"/>
  </si>
  <si>
    <t>報單貼紙</t>
    <phoneticPr fontId="2" type="noConversion"/>
  </si>
  <si>
    <t>106.09.05</t>
    <phoneticPr fontId="2" type="noConversion"/>
  </si>
  <si>
    <t>2002.09</t>
    <phoneticPr fontId="2" type="noConversion"/>
  </si>
  <si>
    <t>座式電動</t>
    <phoneticPr fontId="2" type="noConversion"/>
  </si>
  <si>
    <t>7FB25-45958</t>
    <phoneticPr fontId="2" type="noConversion"/>
  </si>
  <si>
    <t>2011.10</t>
    <phoneticPr fontId="2" type="noConversion"/>
  </si>
  <si>
    <t>6FBR15-33958</t>
    <phoneticPr fontId="2" type="noConversion"/>
  </si>
  <si>
    <t>106.09.01</t>
    <phoneticPr fontId="2" type="noConversion"/>
  </si>
  <si>
    <t>106.07.24-107.07.23</t>
    <phoneticPr fontId="2" type="noConversion"/>
  </si>
  <si>
    <t>106.07.18-107.07.17</t>
    <phoneticPr fontId="2" type="noConversion"/>
  </si>
  <si>
    <t>106.07.27-107.07.26</t>
    <phoneticPr fontId="2" type="noConversion"/>
  </si>
  <si>
    <t>106.09.05</t>
    <phoneticPr fontId="2" type="noConversion"/>
  </si>
  <si>
    <t>106.09.08出貨</t>
    <phoneticPr fontId="2" type="noConversion"/>
  </si>
  <si>
    <t>華展</t>
    <phoneticPr fontId="2" type="noConversion"/>
  </si>
  <si>
    <t>松璟</t>
    <phoneticPr fontId="2" type="noConversion"/>
  </si>
  <si>
    <t>106.09.11出貨</t>
    <phoneticPr fontId="2" type="noConversion"/>
  </si>
  <si>
    <t>中租</t>
    <phoneticPr fontId="2" type="noConversion"/>
  </si>
  <si>
    <t>新永昌號</t>
    <phoneticPr fontId="2" type="noConversion"/>
  </si>
  <si>
    <t>106.09.15出貨</t>
    <phoneticPr fontId="2" type="noConversion"/>
  </si>
  <si>
    <t>C-275-1A</t>
    <phoneticPr fontId="2" type="noConversion"/>
  </si>
  <si>
    <t>貿鴻</t>
    <phoneticPr fontId="2" type="noConversion"/>
  </si>
  <si>
    <t>6FBRJ13-10179</t>
    <phoneticPr fontId="2" type="noConversion"/>
  </si>
  <si>
    <t>24V，390AH/5HR~405AH/6HR</t>
    <phoneticPr fontId="2" type="noConversion"/>
  </si>
  <si>
    <t>5FBR15-12362</t>
    <phoneticPr fontId="2" type="noConversion"/>
  </si>
  <si>
    <t>106.09.15</t>
    <phoneticPr fontId="2" type="noConversion"/>
  </si>
  <si>
    <t>48V</t>
    <phoneticPr fontId="2" type="noConversion"/>
  </si>
  <si>
    <t>沒報單</t>
    <phoneticPr fontId="2" type="noConversion"/>
  </si>
  <si>
    <t>3FBK9-50150</t>
    <phoneticPr fontId="2" type="noConversion"/>
  </si>
  <si>
    <t>106.08.01-107.07.31</t>
    <phoneticPr fontId="2" type="noConversion"/>
  </si>
  <si>
    <t>3FBK9-50711</t>
    <phoneticPr fontId="2" type="noConversion"/>
  </si>
  <si>
    <t>大阪</t>
    <phoneticPr fontId="2" type="noConversion"/>
  </si>
  <si>
    <t>座式電動</t>
    <phoneticPr fontId="2" type="noConversion"/>
  </si>
  <si>
    <t>NISSAN</t>
    <phoneticPr fontId="2" type="noConversion"/>
  </si>
  <si>
    <t>QP02L20-003165</t>
    <phoneticPr fontId="2" type="noConversion"/>
  </si>
  <si>
    <t>103.04.12</t>
    <phoneticPr fontId="2" type="noConversion"/>
  </si>
  <si>
    <t>"1998/7</t>
    <phoneticPr fontId="2" type="noConversion"/>
  </si>
  <si>
    <t>FD35</t>
    <phoneticPr fontId="2" type="noConversion"/>
  </si>
  <si>
    <t>雙霖</t>
    <phoneticPr fontId="2" type="noConversion"/>
  </si>
  <si>
    <t>中租</t>
  </si>
  <si>
    <t>106.11.01-107.10.31</t>
    <phoneticPr fontId="2" type="noConversion"/>
  </si>
  <si>
    <t>6FBRS15-10688</t>
    <phoneticPr fontId="2" type="noConversion"/>
  </si>
  <si>
    <t>報單</t>
    <phoneticPr fontId="2" type="noConversion"/>
  </si>
  <si>
    <t>報單</t>
    <phoneticPr fontId="2" type="noConversion"/>
  </si>
  <si>
    <t>2000.11/21.8.9-8孔,18.7.8-8孔</t>
    <phoneticPr fontId="2" type="noConversion"/>
  </si>
  <si>
    <t>1997  24V</t>
    <phoneticPr fontId="2" type="noConversion"/>
  </si>
  <si>
    <t>2008.01,自排,三截</t>
    <phoneticPr fontId="2" type="noConversion"/>
  </si>
  <si>
    <t>106.08.17</t>
    <phoneticPr fontId="2" type="noConversion"/>
  </si>
  <si>
    <t>2003.10.翻牙.前四輪</t>
    <phoneticPr fontId="2" type="noConversion"/>
  </si>
  <si>
    <t>7FD40-13023</t>
    <phoneticPr fontId="2" type="noConversion"/>
  </si>
  <si>
    <t>昇葆環保</t>
    <phoneticPr fontId="2" type="noConversion"/>
  </si>
  <si>
    <t>7FBH25-28456(綠)</t>
    <phoneticPr fontId="2" type="noConversion"/>
  </si>
  <si>
    <t>7FB25-36250(藍)</t>
    <phoneticPr fontId="2" type="noConversion"/>
  </si>
  <si>
    <r>
      <t>FBRAW</t>
    </r>
    <r>
      <rPr>
        <b/>
        <sz val="12"/>
        <color rgb="FFFF3399"/>
        <rFont val="新細明體"/>
        <family val="1"/>
        <charset val="136"/>
      </rPr>
      <t>15</t>
    </r>
    <r>
      <rPr>
        <sz val="12"/>
        <color rgb="FFFF3399"/>
        <rFont val="新細明體"/>
        <family val="1"/>
        <charset val="136"/>
      </rPr>
      <t>-75</t>
    </r>
    <r>
      <rPr>
        <b/>
        <sz val="12"/>
        <color rgb="FFFF3399"/>
        <rFont val="新細明體"/>
        <family val="1"/>
        <charset val="136"/>
      </rPr>
      <t>B</t>
    </r>
    <r>
      <rPr>
        <sz val="12"/>
        <color rgb="FFFF3399"/>
        <rFont val="新細明體"/>
        <family val="1"/>
        <charset val="136"/>
      </rPr>
      <t>-300-131AE9542</t>
    </r>
    <phoneticPr fontId="2" type="noConversion"/>
  </si>
  <si>
    <t>7FBH25-36875</t>
    <phoneticPr fontId="2" type="noConversion"/>
  </si>
  <si>
    <t>708FDN30-10419</t>
    <phoneticPr fontId="2" type="noConversion"/>
  </si>
  <si>
    <t>FBRM15-75-450-131AH0989</t>
    <phoneticPr fontId="2" type="noConversion"/>
  </si>
  <si>
    <t>彰一興</t>
    <phoneticPr fontId="2" type="noConversion"/>
  </si>
  <si>
    <t>106.11.28出貨</t>
    <phoneticPr fontId="2" type="noConversion"/>
  </si>
  <si>
    <t>7FBRS15-10803</t>
    <phoneticPr fontId="2" type="noConversion"/>
  </si>
  <si>
    <t>2002.08/48V</t>
    <phoneticPr fontId="2" type="noConversion"/>
  </si>
  <si>
    <t>48V/2010.10</t>
    <phoneticPr fontId="2" type="noConversion"/>
  </si>
  <si>
    <t>5FGL18-15815</t>
    <phoneticPr fontId="2" type="noConversion"/>
  </si>
  <si>
    <t xml:space="preserve"> 堆   高   機   租    賃   明    細</t>
    <phoneticPr fontId="2" type="noConversion"/>
  </si>
  <si>
    <t>台中銀租賃</t>
    <phoneticPr fontId="2" type="noConversion"/>
  </si>
  <si>
    <t>107.01.20-108.01.19</t>
    <phoneticPr fontId="2" type="noConversion"/>
  </si>
  <si>
    <t>107.01.03-108.01.02</t>
    <phoneticPr fontId="2" type="noConversion"/>
  </si>
  <si>
    <t>設定</t>
    <phoneticPr fontId="2" type="noConversion"/>
  </si>
  <si>
    <t>典洋法拍估回</t>
  </si>
  <si>
    <t xml:space="preserve">BT   LPE200    SN:930488   </t>
    <phoneticPr fontId="2" type="noConversion"/>
  </si>
  <si>
    <t>編號</t>
    <phoneticPr fontId="2" type="noConversion"/>
  </si>
  <si>
    <t>品牌</t>
    <phoneticPr fontId="2" type="noConversion"/>
  </si>
  <si>
    <t>型號</t>
    <phoneticPr fontId="2" type="noConversion"/>
  </si>
  <si>
    <t>已設定堆高機</t>
    <phoneticPr fontId="2" type="noConversion"/>
  </si>
  <si>
    <t>進貨日期</t>
    <phoneticPr fontId="2" type="noConversion"/>
  </si>
  <si>
    <t>進價</t>
    <phoneticPr fontId="2" type="noConversion"/>
  </si>
  <si>
    <t>銀行</t>
    <phoneticPr fontId="2" type="noConversion"/>
  </si>
  <si>
    <t>狀況</t>
    <phoneticPr fontId="2" type="noConversion"/>
  </si>
  <si>
    <t>地點</t>
    <phoneticPr fontId="2" type="noConversion"/>
  </si>
  <si>
    <t>租期</t>
    <phoneticPr fontId="2" type="noConversion"/>
  </si>
  <si>
    <t>荷重</t>
    <phoneticPr fontId="2" type="noConversion"/>
  </si>
  <si>
    <t>揚高</t>
    <phoneticPr fontId="2" type="noConversion"/>
  </si>
  <si>
    <t>107.01.05</t>
    <phoneticPr fontId="2" type="noConversion"/>
  </si>
  <si>
    <t>2007.09，48V280AH</t>
    <phoneticPr fontId="2" type="noConversion"/>
  </si>
  <si>
    <t>三節；貨叉:1220MM；手排</t>
    <phoneticPr fontId="2" type="noConversion"/>
  </si>
  <si>
    <t>承瑋</t>
    <phoneticPr fontId="2" type="noConversion"/>
  </si>
  <si>
    <t>107.01.17出貨</t>
    <phoneticPr fontId="2" type="noConversion"/>
  </si>
  <si>
    <t>地點</t>
    <phoneticPr fontId="2" type="noConversion"/>
  </si>
  <si>
    <t>慶豐富</t>
    <phoneticPr fontId="2" type="noConversion"/>
  </si>
  <si>
    <t>2廠</t>
    <phoneticPr fontId="2" type="noConversion"/>
  </si>
  <si>
    <t>苗栗</t>
    <phoneticPr fontId="2" type="noConversion"/>
  </si>
  <si>
    <t>本廠</t>
    <phoneticPr fontId="2" type="noConversion"/>
  </si>
  <si>
    <t>高雄</t>
    <phoneticPr fontId="2" type="noConversion"/>
  </si>
  <si>
    <t>美光2廠</t>
    <phoneticPr fontId="2" type="noConversion"/>
  </si>
  <si>
    <t>沙鹿</t>
    <phoneticPr fontId="2" type="noConversion"/>
  </si>
  <si>
    <t>華亞</t>
    <phoneticPr fontId="2" type="noConversion"/>
  </si>
  <si>
    <t>宜蘭</t>
    <phoneticPr fontId="2" type="noConversion"/>
  </si>
  <si>
    <t>后里</t>
    <phoneticPr fontId="2" type="noConversion"/>
  </si>
  <si>
    <t>大豐環保</t>
    <phoneticPr fontId="2" type="noConversion"/>
  </si>
  <si>
    <t>成龍塑膠</t>
    <phoneticPr fontId="2" type="noConversion"/>
  </si>
  <si>
    <t>中科</t>
    <phoneticPr fontId="2" type="noConversion"/>
  </si>
  <si>
    <t>潔安環保</t>
    <phoneticPr fontId="2" type="noConversion"/>
  </si>
  <si>
    <t>大潤發忠明</t>
    <phoneticPr fontId="2" type="noConversion"/>
  </si>
  <si>
    <r>
      <t xml:space="preserve">FD40 </t>
    </r>
    <r>
      <rPr>
        <sz val="12"/>
        <color indexed="8"/>
        <rFont val="新細明體"/>
        <family val="1"/>
        <charset val="136"/>
      </rPr>
      <t>引擊NO.248261    製造NO.111368</t>
    </r>
    <phoneticPr fontId="2" type="noConversion"/>
  </si>
  <si>
    <t>租賃費用</t>
    <phoneticPr fontId="2" type="noConversion"/>
  </si>
  <si>
    <r>
      <t>4JG2FD25</t>
    </r>
    <r>
      <rPr>
        <b/>
        <sz val="12"/>
        <color indexed="8"/>
        <rFont val="新細明體"/>
        <family val="1"/>
        <charset val="136"/>
      </rPr>
      <t xml:space="preserve"> </t>
    </r>
    <r>
      <rPr>
        <sz val="12"/>
        <color indexed="8"/>
        <rFont val="新細明體"/>
        <family val="1"/>
        <charset val="136"/>
      </rPr>
      <t>引擊NO.J253306 製造NO.D21055</t>
    </r>
    <phoneticPr fontId="2" type="noConversion"/>
  </si>
  <si>
    <t>藍色：台中租</t>
    <phoneticPr fontId="2" type="noConversion"/>
  </si>
  <si>
    <t>黃色：中租</t>
    <phoneticPr fontId="2" type="noConversion"/>
  </si>
  <si>
    <t>FD45T9</t>
    <phoneticPr fontId="2" type="noConversion"/>
  </si>
  <si>
    <t>座式柴油</t>
    <phoneticPr fontId="2" type="noConversion"/>
  </si>
  <si>
    <t>107.01.31</t>
    <phoneticPr fontId="2" type="noConversion"/>
  </si>
  <si>
    <t>FD60H-5-70490-前四輪</t>
    <phoneticPr fontId="2" type="noConversion"/>
  </si>
  <si>
    <t>7FDA50-13992</t>
    <phoneticPr fontId="2" type="noConversion"/>
  </si>
  <si>
    <t>107.02.09</t>
    <phoneticPr fontId="2" type="noConversion"/>
  </si>
  <si>
    <t>先豪</t>
    <phoneticPr fontId="2" type="noConversion"/>
  </si>
  <si>
    <t>1996，三截貨櫃，左右側移</t>
    <phoneticPr fontId="2" type="noConversion"/>
  </si>
  <si>
    <t>107.02.13出車</t>
    <phoneticPr fontId="2" type="noConversion"/>
  </si>
  <si>
    <t>力豐還保</t>
    <phoneticPr fontId="2" type="noConversion"/>
  </si>
  <si>
    <t>2002.09,750-16-12PR,700-12-12PR</t>
    <phoneticPr fontId="2" type="noConversion"/>
  </si>
  <si>
    <t>報單貼紙</t>
    <phoneticPr fontId="2" type="noConversion"/>
  </si>
  <si>
    <t>報單</t>
    <phoneticPr fontId="2" type="noConversion"/>
  </si>
  <si>
    <t>阿龍拿去，順維修漏油</t>
    <phoneticPr fontId="2" type="noConversion"/>
  </si>
  <si>
    <t>6FB25-12096</t>
    <phoneticPr fontId="2" type="noConversion"/>
  </si>
  <si>
    <t>107.03.01出貨</t>
    <phoneticPr fontId="2" type="noConversion"/>
  </si>
  <si>
    <t>連同發票一起過去</t>
    <phoneticPr fontId="2" type="noConversion"/>
  </si>
  <si>
    <t>保意興</t>
    <phoneticPr fontId="2" type="noConversion"/>
  </si>
  <si>
    <t>座式電動</t>
    <phoneticPr fontId="2" type="noConversion"/>
  </si>
  <si>
    <t>TOYOTA</t>
    <phoneticPr fontId="2" type="noConversion"/>
  </si>
  <si>
    <t>104.03.28</t>
    <phoneticPr fontId="2" type="noConversion"/>
  </si>
  <si>
    <t>牙叉:1070mm；電瓶:48V 560AH/5HR</t>
    <phoneticPr fontId="2" type="noConversion"/>
  </si>
  <si>
    <t>翻牙，鏟斗</t>
    <phoneticPr fontId="2" type="noConversion"/>
  </si>
  <si>
    <t>FD10</t>
    <phoneticPr fontId="2" type="noConversion"/>
  </si>
  <si>
    <t>6FD30-33382(FFN6-VA351)</t>
    <phoneticPr fontId="2" type="noConversion"/>
  </si>
  <si>
    <t>105.08.10</t>
    <phoneticPr fontId="2" type="noConversion"/>
  </si>
  <si>
    <t>7FD25-29961</t>
    <phoneticPr fontId="2" type="noConversion"/>
  </si>
  <si>
    <t>106.08.17</t>
    <phoneticPr fontId="2" type="noConversion"/>
  </si>
  <si>
    <t>2003.10</t>
    <phoneticPr fontId="2" type="noConversion"/>
  </si>
  <si>
    <t>立式電動</t>
    <phoneticPr fontId="2" type="noConversion"/>
  </si>
  <si>
    <t>107.03.01</t>
    <phoneticPr fontId="2" type="noConversion"/>
  </si>
  <si>
    <t>座式柴油</t>
    <phoneticPr fontId="2" type="noConversion"/>
  </si>
  <si>
    <t>台勵福</t>
    <phoneticPr fontId="2" type="noConversion"/>
  </si>
  <si>
    <t>107.03.06</t>
    <phoneticPr fontId="2" type="noConversion"/>
  </si>
  <si>
    <t>2001.02</t>
    <phoneticPr fontId="2" type="noConversion"/>
  </si>
  <si>
    <t>沒報單</t>
    <phoneticPr fontId="2" type="noConversion"/>
  </si>
  <si>
    <t>6FBRS25-30190</t>
    <phoneticPr fontId="2" type="noConversion"/>
  </si>
  <si>
    <t>大詠城估回</t>
    <phoneticPr fontId="2" type="noConversion"/>
  </si>
  <si>
    <t>107.03.21出貨</t>
    <phoneticPr fontId="2" type="noConversion"/>
  </si>
  <si>
    <t>大詠城</t>
    <phoneticPr fontId="2" type="noConversion"/>
  </si>
  <si>
    <t>威泰</t>
    <phoneticPr fontId="2" type="noConversion"/>
  </si>
  <si>
    <t>進價</t>
    <phoneticPr fontId="2" type="noConversion"/>
  </si>
  <si>
    <t>進鑫</t>
    <phoneticPr fontId="2" type="noConversion"/>
  </si>
  <si>
    <t>6FBR18-30182</t>
    <phoneticPr fontId="2" type="noConversion"/>
  </si>
  <si>
    <t>107.04.11</t>
    <phoneticPr fontId="2" type="noConversion"/>
  </si>
  <si>
    <t>1998.02，48V</t>
    <phoneticPr fontId="2" type="noConversion"/>
  </si>
  <si>
    <t>座式汽油</t>
    <phoneticPr fontId="2" type="noConversion"/>
  </si>
  <si>
    <t>7FG35(7FGK40)-30719</t>
    <phoneticPr fontId="2" type="noConversion"/>
  </si>
  <si>
    <t>2005.06</t>
    <phoneticPr fontId="2" type="noConversion"/>
  </si>
  <si>
    <t>4/11掛號寄出</t>
    <phoneticPr fontId="2" type="noConversion"/>
  </si>
  <si>
    <t>107.04.13</t>
    <phoneticPr fontId="2" type="noConversion"/>
  </si>
  <si>
    <t>後500-8.前650-10</t>
    <phoneticPr fontId="2" type="noConversion"/>
  </si>
  <si>
    <t>崇伯估回</t>
    <phoneticPr fontId="2" type="noConversion"/>
  </si>
  <si>
    <t>高新電鍍</t>
    <phoneticPr fontId="2" type="noConversion"/>
  </si>
  <si>
    <t>107.04.18出貨</t>
    <phoneticPr fontId="2" type="noConversion"/>
  </si>
  <si>
    <t>貿鴻</t>
    <phoneticPr fontId="2" type="noConversion"/>
  </si>
  <si>
    <t>107.04.23出貨</t>
    <phoneticPr fontId="2" type="noConversion"/>
  </si>
  <si>
    <t>報單貼紙</t>
    <phoneticPr fontId="2" type="noConversion"/>
  </si>
  <si>
    <t>107.04.23</t>
    <phoneticPr fontId="2" type="noConversion"/>
  </si>
  <si>
    <t>7FBL15(7FBL18)-12321</t>
    <phoneticPr fontId="2" type="noConversion"/>
  </si>
  <si>
    <t>2002.02,48V,後500-8,前600-9</t>
    <phoneticPr fontId="2" type="noConversion"/>
  </si>
  <si>
    <t>陳俊合</t>
    <phoneticPr fontId="2" type="noConversion"/>
  </si>
  <si>
    <t>107.04.26出貨</t>
    <phoneticPr fontId="2" type="noConversion"/>
  </si>
  <si>
    <t>TOYOTA</t>
    <phoneticPr fontId="2" type="noConversion"/>
  </si>
  <si>
    <t>KOMATSU</t>
    <phoneticPr fontId="2" type="noConversion"/>
  </si>
  <si>
    <t>FG14-15-316332</t>
    <phoneticPr fontId="2" type="noConversion"/>
  </si>
  <si>
    <t>107.05.10出貨</t>
    <phoneticPr fontId="2" type="noConversion"/>
  </si>
  <si>
    <t>FD50 1HVC4K2  TA00776  193164</t>
    <phoneticPr fontId="2" type="noConversion"/>
  </si>
  <si>
    <t>107.06.22</t>
    <phoneticPr fontId="2" type="noConversion"/>
  </si>
  <si>
    <t>2004.09</t>
    <phoneticPr fontId="2" type="noConversion"/>
  </si>
  <si>
    <t>7FBR15-17190</t>
    <phoneticPr fontId="2" type="noConversion"/>
  </si>
  <si>
    <t>7FBR18-13337</t>
    <phoneticPr fontId="2" type="noConversion"/>
  </si>
  <si>
    <t>順陽</t>
    <phoneticPr fontId="2" type="noConversion"/>
  </si>
  <si>
    <t>107.06.22出貨</t>
    <phoneticPr fontId="2" type="noConversion"/>
  </si>
  <si>
    <t>107.07.09</t>
    <phoneticPr fontId="2" type="noConversion"/>
  </si>
  <si>
    <t>40-5FG15-14919</t>
    <phoneticPr fontId="2" type="noConversion"/>
  </si>
  <si>
    <t>立式電動</t>
    <phoneticPr fontId="2" type="noConversion"/>
  </si>
  <si>
    <t>106.07.20</t>
    <phoneticPr fontId="2" type="noConversion"/>
  </si>
  <si>
    <t>2011/翻牙.雙輪換單輪</t>
    <phoneticPr fontId="2" type="noConversion"/>
  </si>
  <si>
    <t>3FBK9-50711</t>
    <phoneticPr fontId="2" type="noConversion"/>
  </si>
  <si>
    <t>7FBH25-33820</t>
    <phoneticPr fontId="2" type="noConversion"/>
  </si>
  <si>
    <t>7FBH25-33860</t>
    <phoneticPr fontId="2" type="noConversion"/>
  </si>
  <si>
    <t>6FBRS15-10688</t>
    <phoneticPr fontId="2" type="noConversion"/>
  </si>
  <si>
    <t>7FB20-12586（7FB25）</t>
    <phoneticPr fontId="2" type="noConversion"/>
  </si>
  <si>
    <t>慶豐富</t>
    <phoneticPr fontId="2" type="noConversion"/>
  </si>
  <si>
    <t>本廠</t>
    <phoneticPr fontId="2" type="noConversion"/>
  </si>
  <si>
    <t>NYK</t>
    <phoneticPr fontId="2" type="noConversion"/>
  </si>
  <si>
    <t>FBR15-50S-300PFLCS-131AA1774</t>
    <phoneticPr fontId="2" type="noConversion"/>
  </si>
  <si>
    <t>61FBR15SXII-R1H-00248</t>
    <phoneticPr fontId="2" type="noConversion"/>
  </si>
  <si>
    <t>2012.07,48V,280AH-5HR,291AH-6HR</t>
    <phoneticPr fontId="2" type="noConversion"/>
  </si>
  <si>
    <t>107.08.30出貨</t>
    <phoneticPr fontId="2" type="noConversion"/>
  </si>
  <si>
    <t>震穎</t>
    <phoneticPr fontId="2" type="noConversion"/>
  </si>
  <si>
    <t>保意興</t>
    <phoneticPr fontId="2" type="noConversion"/>
  </si>
  <si>
    <t>阿成-俊卿客人</t>
  </si>
  <si>
    <t>自走式</t>
    <phoneticPr fontId="2" type="noConversion"/>
  </si>
  <si>
    <t>NYK</t>
    <phoneticPr fontId="2" type="noConversion"/>
  </si>
  <si>
    <t>FBD7-32-250T-361950016</t>
    <phoneticPr fontId="2" type="noConversion"/>
  </si>
  <si>
    <t>FBRMW15-70-500MSF 131AD1925</t>
    <phoneticPr fontId="2" type="noConversion"/>
  </si>
  <si>
    <t>107.08.28</t>
    <phoneticPr fontId="2" type="noConversion"/>
  </si>
  <si>
    <t>107.10.15</t>
    <phoneticPr fontId="2" type="noConversion"/>
  </si>
  <si>
    <t>2FBRA12-10162</t>
    <phoneticPr fontId="2" type="noConversion"/>
  </si>
  <si>
    <t>107.08.21</t>
    <phoneticPr fontId="2" type="noConversion"/>
  </si>
  <si>
    <t>2005</t>
    <phoneticPr fontId="2" type="noConversion"/>
  </si>
  <si>
    <t>正敏</t>
    <phoneticPr fontId="2" type="noConversion"/>
  </si>
  <si>
    <t>107.10.17出貨</t>
    <phoneticPr fontId="2" type="noConversion"/>
  </si>
  <si>
    <t>107.10.16</t>
    <phoneticPr fontId="2" type="noConversion"/>
  </si>
  <si>
    <t>6FBR13-10112</t>
    <phoneticPr fontId="2" type="noConversion"/>
  </si>
  <si>
    <t>RFTLI10-65C-165MCS-922AC0222</t>
    <phoneticPr fontId="2" type="noConversion"/>
  </si>
  <si>
    <t>107.08.31</t>
    <phoneticPr fontId="2" type="noConversion"/>
  </si>
  <si>
    <t>雙霖</t>
    <phoneticPr fontId="2" type="noConversion"/>
  </si>
  <si>
    <t>座式電動</t>
    <phoneticPr fontId="2" type="noConversion"/>
  </si>
  <si>
    <t>TOYOTA</t>
    <phoneticPr fontId="2" type="noConversion"/>
  </si>
  <si>
    <t>104.08.20</t>
    <phoneticPr fontId="2" type="noConversion"/>
  </si>
  <si>
    <t>1997  24V</t>
    <phoneticPr fontId="2" type="noConversion"/>
  </si>
  <si>
    <t>認證貼紙</t>
    <phoneticPr fontId="2" type="noConversion"/>
  </si>
  <si>
    <t>台中銀租賃</t>
    <phoneticPr fontId="2" type="noConversion"/>
  </si>
  <si>
    <t>107.10.23出貨</t>
    <phoneticPr fontId="2" type="noConversion"/>
  </si>
  <si>
    <t>固資</t>
    <phoneticPr fontId="2" type="noConversion"/>
  </si>
  <si>
    <t>48v/320AH，2004</t>
    <phoneticPr fontId="2" type="noConversion"/>
  </si>
  <si>
    <t>TOYOTA</t>
    <phoneticPr fontId="2" type="noConversion"/>
  </si>
  <si>
    <t>107.11.16</t>
    <phoneticPr fontId="2" type="noConversion"/>
  </si>
  <si>
    <t>2002.02，445AH(5)462AH(6)</t>
    <phoneticPr fontId="2" type="noConversion"/>
  </si>
  <si>
    <t>6FBRS15-30930</t>
    <phoneticPr fontId="2" type="noConversion"/>
  </si>
  <si>
    <t>107.11.28</t>
    <phoneticPr fontId="2" type="noConversion"/>
  </si>
  <si>
    <t>100.05.17</t>
    <phoneticPr fontId="2" type="noConversion"/>
  </si>
  <si>
    <t>(3FBK7)3FBK9-50150</t>
    <phoneticPr fontId="2" type="noConversion"/>
  </si>
  <si>
    <t>107.12.10出貨</t>
    <phoneticPr fontId="2" type="noConversion"/>
  </si>
  <si>
    <t>特鼎盛</t>
    <phoneticPr fontId="2" type="noConversion"/>
  </si>
  <si>
    <t xml:space="preserve">BT </t>
    <phoneticPr fontId="2" type="noConversion"/>
  </si>
  <si>
    <t>BT   LPE200    SN:930488   小台</t>
    <phoneticPr fontId="2" type="noConversion"/>
  </si>
  <si>
    <t>103.05.21</t>
    <phoneticPr fontId="2" type="noConversion"/>
  </si>
  <si>
    <t>2006   雙輪</t>
    <phoneticPr fontId="2" type="noConversion"/>
  </si>
  <si>
    <t>台中銀租賃</t>
    <phoneticPr fontId="2" type="noConversion"/>
  </si>
  <si>
    <t>榮華</t>
  </si>
  <si>
    <t>雷歐</t>
    <phoneticPr fontId="2" type="noConversion"/>
  </si>
  <si>
    <t>座式柴油</t>
    <phoneticPr fontId="2" type="noConversion"/>
  </si>
  <si>
    <t>鴉路/住友SUMITOMO</t>
    <phoneticPr fontId="2" type="noConversion"/>
  </si>
  <si>
    <t>FD25PV1IHA  D2J-21141</t>
    <phoneticPr fontId="2" type="noConversion"/>
  </si>
  <si>
    <t>105.04.01</t>
    <phoneticPr fontId="2" type="noConversion"/>
  </si>
  <si>
    <t>美光</t>
    <phoneticPr fontId="2" type="noConversion"/>
  </si>
  <si>
    <t>左右側移 2005/07</t>
    <phoneticPr fontId="2" type="noConversion"/>
  </si>
  <si>
    <t>沒報單</t>
    <phoneticPr fontId="2" type="noConversion"/>
  </si>
  <si>
    <t>107.12.19</t>
    <phoneticPr fontId="2" type="noConversion"/>
  </si>
  <si>
    <t>108.01.11</t>
    <phoneticPr fontId="2" type="noConversion"/>
  </si>
  <si>
    <t>6FB30-10263</t>
    <phoneticPr fontId="2" type="noConversion"/>
  </si>
  <si>
    <t>美光</t>
    <phoneticPr fontId="2" type="noConversion"/>
  </si>
  <si>
    <t>成龍塑膠</t>
    <phoneticPr fontId="2" type="noConversion"/>
  </si>
  <si>
    <t>2廠</t>
    <phoneticPr fontId="2" type="noConversion"/>
  </si>
  <si>
    <t>3FB9-50564</t>
    <phoneticPr fontId="2" type="noConversion"/>
  </si>
  <si>
    <t>107.08.31</t>
    <phoneticPr fontId="2" type="noConversion"/>
  </si>
  <si>
    <t>6FBR15-12329</t>
    <phoneticPr fontId="2" type="noConversion"/>
  </si>
  <si>
    <t>107.11.02</t>
    <phoneticPr fontId="2" type="noConversion"/>
  </si>
  <si>
    <t>BT-HB20-10594</t>
    <phoneticPr fontId="2" type="noConversion"/>
  </si>
  <si>
    <t>7FD25-18077</t>
    <phoneticPr fontId="2" type="noConversion"/>
  </si>
  <si>
    <t>103.08.06</t>
    <phoneticPr fontId="2" type="noConversion"/>
  </si>
  <si>
    <t>FD30</t>
    <phoneticPr fontId="2" type="noConversion"/>
  </si>
  <si>
    <t>排序</t>
    <phoneticPr fontId="2" type="noConversion"/>
  </si>
  <si>
    <t>2008年</t>
    <phoneticPr fontId="2" type="noConversion"/>
  </si>
  <si>
    <t>6FBRS15-30456</t>
    <phoneticPr fontId="2" type="noConversion"/>
  </si>
  <si>
    <t>1998.04，48V  280AH</t>
    <phoneticPr fontId="2" type="noConversion"/>
  </si>
  <si>
    <t>1997.08，72V  450AH</t>
    <phoneticPr fontId="2" type="noConversion"/>
  </si>
  <si>
    <t>進口報單</t>
    <phoneticPr fontId="2" type="noConversion"/>
  </si>
  <si>
    <t>堆   高   機   展    示    待    售   明    細</t>
    <phoneticPr fontId="2" type="noConversion"/>
  </si>
  <si>
    <t>106.07.18</t>
    <phoneticPr fontId="2" type="noConversion"/>
  </si>
  <si>
    <t>108.02.13</t>
    <phoneticPr fontId="2" type="noConversion"/>
  </si>
  <si>
    <t>進鑫</t>
    <phoneticPr fontId="2" type="noConversion"/>
  </si>
  <si>
    <t>RFBA12-10067</t>
    <phoneticPr fontId="2" type="noConversion"/>
  </si>
  <si>
    <t>48V，320AH</t>
    <phoneticPr fontId="2" type="noConversion"/>
  </si>
  <si>
    <t>進口報單</t>
    <phoneticPr fontId="2" type="noConversion"/>
  </si>
  <si>
    <t>7FBRS25-10082</t>
    <phoneticPr fontId="2" type="noConversion"/>
  </si>
  <si>
    <t>業碩</t>
    <phoneticPr fontId="2" type="noConversion"/>
  </si>
  <si>
    <t>108.03.06出貨</t>
    <phoneticPr fontId="2" type="noConversion"/>
  </si>
  <si>
    <t>108.03.22</t>
    <phoneticPr fontId="2" type="noConversion"/>
  </si>
  <si>
    <t>1999.12,48V,280AH</t>
    <phoneticPr fontId="2" type="noConversion"/>
  </si>
  <si>
    <t>6FBR15-33413</t>
    <phoneticPr fontId="2" type="noConversion"/>
  </si>
  <si>
    <t>108.04.02出貨</t>
    <phoneticPr fontId="2" type="noConversion"/>
  </si>
  <si>
    <t>信華</t>
    <phoneticPr fontId="2" type="noConversion"/>
  </si>
  <si>
    <t>欣展/新偉</t>
    <phoneticPr fontId="2" type="noConversion"/>
  </si>
  <si>
    <t>豪美</t>
    <phoneticPr fontId="2" type="noConversion"/>
  </si>
  <si>
    <t>108.04.03出貨</t>
    <phoneticPr fontId="2" type="noConversion"/>
  </si>
  <si>
    <t>座式柴油</t>
    <phoneticPr fontId="2" type="noConversion"/>
  </si>
  <si>
    <t>TOYOTA</t>
    <phoneticPr fontId="2" type="noConversion"/>
  </si>
  <si>
    <t xml:space="preserve">8FD20(8FD25)-32743  </t>
    <phoneticPr fontId="2" type="noConversion"/>
  </si>
  <si>
    <t>2012/03，換拱改三截</t>
    <phoneticPr fontId="2" type="noConversion"/>
  </si>
  <si>
    <t>報單</t>
    <phoneticPr fontId="2" type="noConversion"/>
  </si>
  <si>
    <t>慶豐富</t>
    <phoneticPr fontId="2" type="noConversion"/>
  </si>
  <si>
    <t>KOMATSU</t>
    <phoneticPr fontId="2" type="noConversion"/>
  </si>
  <si>
    <t>FD25-12 87BXA-1121</t>
    <phoneticPr fontId="2" type="noConversion"/>
  </si>
  <si>
    <t>三截</t>
    <phoneticPr fontId="2" type="noConversion"/>
  </si>
  <si>
    <t>NISSAN</t>
    <phoneticPr fontId="2" type="noConversion"/>
  </si>
  <si>
    <t>106.04.13</t>
    <phoneticPr fontId="2" type="noConversion"/>
  </si>
  <si>
    <t>頭崙里頭崙巷117-12號</t>
    <phoneticPr fontId="2" type="noConversion"/>
  </si>
  <si>
    <t>6FD25-30475</t>
    <phoneticPr fontId="2" type="noConversion"/>
  </si>
  <si>
    <t>震穎</t>
    <phoneticPr fontId="2" type="noConversion"/>
  </si>
  <si>
    <t>立式電動</t>
    <phoneticPr fontId="2" type="noConversion"/>
  </si>
  <si>
    <t>NYK</t>
    <phoneticPr fontId="2" type="noConversion"/>
  </si>
  <si>
    <t>RFTL10-B65-922AC0239</t>
    <phoneticPr fontId="2" type="noConversion"/>
  </si>
  <si>
    <t>108.04.18</t>
    <phoneticPr fontId="2" type="noConversion"/>
  </si>
  <si>
    <t>佳采</t>
    <phoneticPr fontId="2" type="noConversion"/>
  </si>
  <si>
    <t>5FD15(5FD18)-13468</t>
    <phoneticPr fontId="2" type="noConversion"/>
  </si>
  <si>
    <t>108.04.22</t>
    <phoneticPr fontId="2" type="noConversion"/>
  </si>
  <si>
    <t>嘉振</t>
    <phoneticPr fontId="2" type="noConversion"/>
  </si>
  <si>
    <t>108.04.24出貨</t>
    <phoneticPr fontId="2" type="noConversion"/>
  </si>
  <si>
    <t>台勵福</t>
    <phoneticPr fontId="2" type="noConversion"/>
  </si>
  <si>
    <t>TOYOTA</t>
    <phoneticPr fontId="2" type="noConversion"/>
  </si>
  <si>
    <t>7FG35(7FGK40)-30719</t>
    <phoneticPr fontId="2" type="noConversion"/>
  </si>
  <si>
    <t>7FBR10-10236</t>
    <phoneticPr fontId="2" type="noConversion"/>
  </si>
  <si>
    <t>馫滋味</t>
    <phoneticPr fontId="2" type="noConversion"/>
  </si>
  <si>
    <t>108.04.26出貨</t>
    <phoneticPr fontId="2" type="noConversion"/>
  </si>
  <si>
    <t>4/27施工已隨貨單附上</t>
    <phoneticPr fontId="2" type="noConversion"/>
  </si>
  <si>
    <t>未給</t>
    <phoneticPr fontId="2" type="noConversion"/>
  </si>
  <si>
    <t>6FB20-10680</t>
    <phoneticPr fontId="2" type="noConversion"/>
  </si>
  <si>
    <t>大立(陳立國)</t>
    <phoneticPr fontId="2" type="noConversion"/>
  </si>
  <si>
    <t>108.04.29出貨</t>
    <phoneticPr fontId="2" type="noConversion"/>
  </si>
  <si>
    <t>4/29隨合約發票一起給</t>
    <phoneticPr fontId="2" type="noConversion"/>
  </si>
  <si>
    <t>進口報單</t>
    <phoneticPr fontId="2" type="noConversion"/>
  </si>
  <si>
    <t>報單貼紙</t>
  </si>
  <si>
    <t>豪美</t>
    <phoneticPr fontId="2" type="noConversion"/>
  </si>
  <si>
    <t>108.05.09出貨</t>
    <phoneticPr fontId="2" type="noConversion"/>
  </si>
  <si>
    <t>報單貼紙</t>
    <phoneticPr fontId="2" type="noConversion"/>
  </si>
  <si>
    <t>大阪</t>
    <phoneticPr fontId="2" type="noConversion"/>
  </si>
  <si>
    <t>NYK</t>
    <phoneticPr fontId="2" type="noConversion"/>
  </si>
  <si>
    <t>三截貨櫃/左右側移</t>
    <phoneticPr fontId="2" type="noConversion"/>
  </si>
  <si>
    <t>FBRMAW75-75B-131AE4558</t>
    <phoneticPr fontId="2" type="noConversion"/>
  </si>
  <si>
    <t>2004</t>
    <phoneticPr fontId="2" type="noConversion"/>
  </si>
  <si>
    <t>座式電動</t>
    <phoneticPr fontId="2" type="noConversion"/>
  </si>
  <si>
    <t>TCM</t>
    <phoneticPr fontId="2" type="noConversion"/>
  </si>
  <si>
    <t>FB30-7-81U01738</t>
    <phoneticPr fontId="2" type="noConversion"/>
  </si>
  <si>
    <t>108.05.23</t>
    <phoneticPr fontId="2" type="noConversion"/>
  </si>
  <si>
    <t>72V 545AH</t>
    <phoneticPr fontId="2" type="noConversion"/>
  </si>
  <si>
    <t>48V 450AH；三截貨櫃型；左右側移；1996</t>
    <phoneticPr fontId="2" type="noConversion"/>
  </si>
  <si>
    <t>進口報單</t>
    <phoneticPr fontId="2" type="noConversion"/>
  </si>
  <si>
    <t>業碩</t>
    <phoneticPr fontId="2" type="noConversion"/>
  </si>
  <si>
    <t>108.05.28出貨</t>
    <phoneticPr fontId="2" type="noConversion"/>
  </si>
  <si>
    <r>
      <t>6FBR10</t>
    </r>
    <r>
      <rPr>
        <sz val="12"/>
        <color indexed="8"/>
        <rFont val="新細明體"/>
        <family val="1"/>
        <charset val="136"/>
      </rPr>
      <t>-10049</t>
    </r>
    <phoneticPr fontId="2" type="noConversion"/>
  </si>
  <si>
    <t>羯奇</t>
    <phoneticPr fontId="2" type="noConversion"/>
  </si>
  <si>
    <t>108.06.03出貨</t>
    <phoneticPr fontId="2" type="noConversion"/>
  </si>
  <si>
    <t>報單</t>
    <phoneticPr fontId="2" type="noConversion"/>
  </si>
  <si>
    <t>※貨款只給未稅金額</t>
    <phoneticPr fontId="2" type="noConversion"/>
  </si>
  <si>
    <t>6/4老闆南下順給發票.合約.進口報單，順收款</t>
    <phoneticPr fontId="2" type="noConversion"/>
  </si>
  <si>
    <t>SUMITOMO</t>
    <phoneticPr fontId="2" type="noConversion"/>
  </si>
  <si>
    <t>6FBL18-11093</t>
    <phoneticPr fontId="2" type="noConversion"/>
  </si>
  <si>
    <t>108.06.11</t>
    <phoneticPr fontId="2" type="noConversion"/>
  </si>
  <si>
    <t>48V，220/228AH，2011.08</t>
    <phoneticPr fontId="2" type="noConversion"/>
  </si>
  <si>
    <t>48V，400/416AH</t>
    <phoneticPr fontId="2" type="noConversion"/>
  </si>
  <si>
    <t>7FBRS15-16533</t>
    <phoneticPr fontId="2" type="noConversion"/>
  </si>
  <si>
    <t>7FBR15-15546</t>
    <phoneticPr fontId="2" type="noConversion"/>
  </si>
  <si>
    <t>108.05.30</t>
    <phoneticPr fontId="2" type="noConversion"/>
  </si>
  <si>
    <t>2RFBA12-10131</t>
    <phoneticPr fontId="2" type="noConversion"/>
  </si>
  <si>
    <t>翔宣富</t>
    <phoneticPr fontId="2" type="noConversion"/>
  </si>
  <si>
    <r>
      <t>6FB20-FSVE61  6FB25-10112</t>
    </r>
    <r>
      <rPr>
        <b/>
        <sz val="12"/>
        <rFont val="新細明體"/>
        <family val="1"/>
        <charset val="136"/>
      </rPr>
      <t xml:space="preserve">  前四輪</t>
    </r>
    <phoneticPr fontId="2" type="noConversion"/>
  </si>
  <si>
    <t>6FBR15-31481</t>
    <phoneticPr fontId="2" type="noConversion"/>
  </si>
  <si>
    <t>108.06.19出貨</t>
    <phoneticPr fontId="2" type="noConversion"/>
  </si>
  <si>
    <t>沒報單</t>
    <phoneticPr fontId="2" type="noConversion"/>
  </si>
  <si>
    <t>華展</t>
    <phoneticPr fontId="2" type="noConversion"/>
  </si>
  <si>
    <t>108.06.26出貨</t>
    <phoneticPr fontId="2" type="noConversion"/>
  </si>
  <si>
    <t>進鑫</t>
    <phoneticPr fontId="2" type="noConversion"/>
  </si>
  <si>
    <t>7FBR15-35724</t>
    <phoneticPr fontId="2" type="noConversion"/>
  </si>
  <si>
    <t>108.07.18</t>
    <phoneticPr fontId="2" type="noConversion"/>
  </si>
  <si>
    <t>7FBRS15-11897</t>
    <phoneticPr fontId="2" type="noConversion"/>
  </si>
  <si>
    <t>108.07.23</t>
    <phoneticPr fontId="2" type="noConversion"/>
  </si>
  <si>
    <t>48V,280AH-5HR,291AH-6HR / 1995</t>
    <phoneticPr fontId="2" type="noConversion"/>
  </si>
  <si>
    <t>2010.05，48V 228AH</t>
    <phoneticPr fontId="2" type="noConversion"/>
  </si>
  <si>
    <t>改左右側移</t>
    <phoneticPr fontId="2" type="noConversion"/>
  </si>
  <si>
    <t>108.08.02出貨</t>
    <phoneticPr fontId="2" type="noConversion"/>
  </si>
  <si>
    <t>建安定</t>
    <phoneticPr fontId="2" type="noConversion"/>
  </si>
  <si>
    <t>慶安</t>
    <phoneticPr fontId="2" type="noConversion"/>
  </si>
  <si>
    <t>大豐環保</t>
    <phoneticPr fontId="2" type="noConversion"/>
  </si>
  <si>
    <t>本廠</t>
    <phoneticPr fontId="2" type="noConversion"/>
  </si>
  <si>
    <t>FBRW15-63-131AC0175</t>
    <phoneticPr fontId="2" type="noConversion"/>
  </si>
  <si>
    <t>潔安環保</t>
    <phoneticPr fontId="2" type="noConversion"/>
  </si>
  <si>
    <t>FBRA15-60   131AB1169</t>
    <phoneticPr fontId="2" type="noConversion"/>
  </si>
  <si>
    <t>108.08.15</t>
    <phoneticPr fontId="2" type="noConversion"/>
  </si>
  <si>
    <t>2014.05 / 48V 165AH</t>
    <phoneticPr fontId="2" type="noConversion"/>
  </si>
  <si>
    <t>6FB25-21870</t>
    <phoneticPr fontId="2" type="noConversion"/>
  </si>
  <si>
    <t>直大</t>
    <phoneticPr fontId="2" type="noConversion"/>
  </si>
  <si>
    <t>108.08.020出貨</t>
    <phoneticPr fontId="2" type="noConversion"/>
  </si>
  <si>
    <t>華門</t>
    <phoneticPr fontId="2" type="noConversion"/>
  </si>
  <si>
    <t>1999/48V312AH</t>
    <phoneticPr fontId="2" type="noConversion"/>
  </si>
  <si>
    <t>康郁</t>
  </si>
  <si>
    <t>108.09.03出貨</t>
  </si>
  <si>
    <t>108.05.23</t>
    <phoneticPr fontId="2" type="noConversion"/>
  </si>
  <si>
    <t>108.01.31</t>
    <phoneticPr fontId="2" type="noConversion"/>
  </si>
  <si>
    <t>48V,280AH / 2011.08</t>
    <phoneticPr fontId="2" type="noConversion"/>
  </si>
  <si>
    <t>24V 445AH / 2009</t>
    <phoneticPr fontId="2" type="noConversion"/>
  </si>
  <si>
    <t>FBRA15-63B   131AC0758</t>
    <phoneticPr fontId="2" type="noConversion"/>
  </si>
  <si>
    <t>志晟</t>
    <phoneticPr fontId="2" type="noConversion"/>
  </si>
  <si>
    <t>108.09.12出貨</t>
    <phoneticPr fontId="2" type="noConversion"/>
  </si>
  <si>
    <t>報單貼紙</t>
    <phoneticPr fontId="2" type="noConversion"/>
  </si>
  <si>
    <t>FBRAW13-HR75B-550MCS-121AD9350</t>
    <phoneticPr fontId="2" type="noConversion"/>
  </si>
  <si>
    <t>協彬</t>
    <phoneticPr fontId="2" type="noConversion"/>
  </si>
  <si>
    <t>108.09.09出貨</t>
    <phoneticPr fontId="2" type="noConversion"/>
  </si>
  <si>
    <t>7FBRK10-11989</t>
    <phoneticPr fontId="2" type="noConversion"/>
  </si>
  <si>
    <t>沒報單-島內車</t>
  </si>
  <si>
    <t>沒報單-島內車</t>
    <phoneticPr fontId="2" type="noConversion"/>
  </si>
  <si>
    <t>隨合約一起給報單~~卿</t>
    <phoneticPr fontId="2" type="noConversion"/>
  </si>
  <si>
    <t>代新</t>
  </si>
  <si>
    <t>7FBRK9-50762</t>
    <phoneticPr fontId="2" type="noConversion"/>
  </si>
  <si>
    <t>9/27電聯~下禮拜一寄</t>
    <phoneticPr fontId="2" type="noConversion"/>
  </si>
  <si>
    <t>7FBR13-11694</t>
    <phoneticPr fontId="2" type="noConversion"/>
  </si>
  <si>
    <t>108.09.30</t>
    <phoneticPr fontId="2" type="noConversion"/>
  </si>
  <si>
    <t>6FBR15-11873</t>
    <phoneticPr fontId="2" type="noConversion"/>
  </si>
  <si>
    <t>2005.06，48V，201AH</t>
    <phoneticPr fontId="2" type="noConversion"/>
  </si>
  <si>
    <t>報單貼紙</t>
    <phoneticPr fontId="2" type="noConversion"/>
  </si>
  <si>
    <t>108.10.07</t>
    <phoneticPr fontId="2" type="noConversion"/>
  </si>
  <si>
    <t>SUMITOMO/住友</t>
    <phoneticPr fontId="2" type="noConversion"/>
  </si>
  <si>
    <t>61-FBR15STE-R1G-14000</t>
    <phoneticPr fontId="2" type="noConversion"/>
  </si>
  <si>
    <t>7FBR15-27437</t>
    <phoneticPr fontId="2" type="noConversion"/>
  </si>
  <si>
    <t>2003.04，48V 165AH</t>
    <phoneticPr fontId="2" type="noConversion"/>
  </si>
  <si>
    <t>108.10.23</t>
    <phoneticPr fontId="2" type="noConversion"/>
  </si>
  <si>
    <t>2005.07，48V 370/384AH</t>
    <phoneticPr fontId="2" type="noConversion"/>
  </si>
  <si>
    <t>1996，48V，280AH</t>
    <phoneticPr fontId="2" type="noConversion"/>
  </si>
  <si>
    <t>NISSAN</t>
    <phoneticPr fontId="2" type="noConversion"/>
  </si>
  <si>
    <t>108.11.01</t>
    <phoneticPr fontId="2" type="noConversion"/>
  </si>
  <si>
    <t>48V 201AH</t>
    <phoneticPr fontId="2" type="noConversion"/>
  </si>
  <si>
    <t>HR01L13C-021744</t>
    <phoneticPr fontId="2" type="noConversion"/>
  </si>
  <si>
    <t>12V</t>
    <phoneticPr fontId="2" type="noConversion"/>
  </si>
  <si>
    <t>FR15-7-82M01458</t>
    <phoneticPr fontId="2" type="noConversion"/>
  </si>
  <si>
    <t>108.11.14</t>
    <phoneticPr fontId="2" type="noConversion"/>
  </si>
  <si>
    <t>美和</t>
    <phoneticPr fontId="2" type="noConversion"/>
  </si>
  <si>
    <t>108.09.26出貨</t>
    <phoneticPr fontId="2" type="noConversion"/>
  </si>
  <si>
    <t>109.01.01-109.12.31</t>
  </si>
  <si>
    <t>109.01.03-110.01.02</t>
  </si>
  <si>
    <t>2000，位移，改成翻牙，三截</t>
    <phoneticPr fontId="2" type="noConversion"/>
  </si>
  <si>
    <t>沒報單   有讓渡書</t>
    <phoneticPr fontId="2" type="noConversion"/>
  </si>
  <si>
    <t>未給</t>
    <phoneticPr fontId="2" type="noConversion"/>
  </si>
  <si>
    <t>FD50-217562</t>
    <phoneticPr fontId="2" type="noConversion"/>
  </si>
  <si>
    <t>108.01.08</t>
    <phoneticPr fontId="2" type="noConversion"/>
  </si>
  <si>
    <t>聯萬</t>
    <phoneticPr fontId="2" type="noConversion"/>
  </si>
  <si>
    <t>7FBR15-19147</t>
    <phoneticPr fontId="2" type="noConversion"/>
  </si>
  <si>
    <t>109.01.20出貨</t>
    <phoneticPr fontId="2" type="noConversion"/>
  </si>
  <si>
    <t>1/20老闆拿~發票、合約、操作手冊、報單一起</t>
    <phoneticPr fontId="2" type="noConversion"/>
  </si>
  <si>
    <t>三截貨櫃 /左右側移/可加配重2.5T;1995</t>
    <phoneticPr fontId="2" type="noConversion"/>
  </si>
  <si>
    <t>座式柴油</t>
    <phoneticPr fontId="2" type="noConversion"/>
  </si>
  <si>
    <t>TOYOTA</t>
    <phoneticPr fontId="2" type="noConversion"/>
  </si>
  <si>
    <t>A508FDJ35-32813</t>
    <phoneticPr fontId="2" type="noConversion"/>
  </si>
  <si>
    <t>106.03.30</t>
    <phoneticPr fontId="2" type="noConversion"/>
  </si>
  <si>
    <t>報單貼紙</t>
    <phoneticPr fontId="2" type="noConversion"/>
  </si>
  <si>
    <t>6FBR15-33545</t>
    <phoneticPr fontId="2" type="noConversion"/>
  </si>
  <si>
    <t>109.02.05</t>
    <phoneticPr fontId="2" type="noConversion"/>
  </si>
  <si>
    <t>2000.12 / 48V 280AH</t>
    <phoneticPr fontId="2" type="noConversion"/>
  </si>
  <si>
    <t>鹿港彰濱</t>
    <phoneticPr fontId="2" type="noConversion"/>
  </si>
  <si>
    <t>FB28PN-75B-450SF-241C03695</t>
    <phoneticPr fontId="2" type="noConversion"/>
  </si>
  <si>
    <t>109.02.19</t>
    <phoneticPr fontId="2" type="noConversion"/>
  </si>
  <si>
    <t>2014 / 48V，730AH</t>
    <phoneticPr fontId="2" type="noConversion"/>
  </si>
  <si>
    <t>FB25-7-81N07407</t>
    <phoneticPr fontId="2" type="noConversion"/>
  </si>
  <si>
    <t>2010.08 / 48V 565AH</t>
    <phoneticPr fontId="2" type="noConversion"/>
  </si>
  <si>
    <t>嘉振</t>
    <phoneticPr fontId="2" type="noConversion"/>
  </si>
  <si>
    <t>大慶</t>
    <phoneticPr fontId="2" type="noConversion"/>
  </si>
  <si>
    <t>座式柴油</t>
    <phoneticPr fontId="2" type="noConversion"/>
  </si>
  <si>
    <t>TOYOTA</t>
    <phoneticPr fontId="2" type="noConversion"/>
  </si>
  <si>
    <t>8FD30-65459</t>
    <phoneticPr fontId="2" type="noConversion"/>
  </si>
  <si>
    <t>109.03.02</t>
    <phoneticPr fontId="2" type="noConversion"/>
  </si>
  <si>
    <t>109.03.03出貨</t>
    <phoneticPr fontId="2" type="noConversion"/>
  </si>
  <si>
    <t>2018.10 ，左右側移</t>
    <phoneticPr fontId="2" type="noConversion"/>
  </si>
  <si>
    <t>報單，貼紙在車上</t>
    <phoneticPr fontId="2" type="noConversion"/>
  </si>
  <si>
    <t>豐成</t>
    <phoneticPr fontId="2" type="noConversion"/>
  </si>
  <si>
    <t>109.03.05出貨</t>
    <phoneticPr fontId="2" type="noConversion"/>
  </si>
  <si>
    <t>泓達碩</t>
    <phoneticPr fontId="2" type="noConversion"/>
  </si>
  <si>
    <t>109.03.11出貨</t>
    <phoneticPr fontId="2" type="noConversion"/>
  </si>
  <si>
    <t>凱薩克</t>
    <phoneticPr fontId="2" type="noConversion"/>
  </si>
  <si>
    <t>109.02.24出貨</t>
  </si>
  <si>
    <t>109.02.24出貨</t>
    <phoneticPr fontId="2" type="noConversion"/>
  </si>
  <si>
    <t>2006.左右側移</t>
    <phoneticPr fontId="2" type="noConversion"/>
  </si>
  <si>
    <t>座式電動</t>
    <phoneticPr fontId="2" type="noConversion"/>
  </si>
  <si>
    <t>TOYOTA</t>
    <phoneticPr fontId="2" type="noConversion"/>
  </si>
  <si>
    <t>台中銀租賃</t>
    <phoneticPr fontId="2" type="noConversion"/>
  </si>
  <si>
    <t>順陽</t>
    <phoneticPr fontId="2" type="noConversion"/>
  </si>
  <si>
    <t>109.03.24出貨</t>
    <phoneticPr fontId="2" type="noConversion"/>
  </si>
  <si>
    <t>歐漾</t>
    <phoneticPr fontId="2" type="noConversion"/>
  </si>
  <si>
    <t>109.03.26出貨</t>
    <phoneticPr fontId="2" type="noConversion"/>
  </si>
  <si>
    <t>俊卿報單+發票一起給</t>
    <phoneticPr fontId="2" type="noConversion"/>
  </si>
  <si>
    <t>老闆拿</t>
    <phoneticPr fontId="2" type="noConversion"/>
  </si>
  <si>
    <t>105.10.24</t>
    <phoneticPr fontId="2" type="noConversion"/>
  </si>
  <si>
    <t>慶豐富</t>
  </si>
  <si>
    <t>6FBR15-10091</t>
    <phoneticPr fontId="2" type="noConversion"/>
  </si>
  <si>
    <t>109.04.01</t>
    <phoneticPr fontId="2" type="noConversion"/>
  </si>
  <si>
    <t>48V 280AH</t>
    <phoneticPr fontId="2" type="noConversion"/>
  </si>
  <si>
    <t>玄耕</t>
    <phoneticPr fontId="2" type="noConversion"/>
  </si>
  <si>
    <t>109.04.09出貨</t>
    <phoneticPr fontId="2" type="noConversion"/>
  </si>
  <si>
    <t>車互換</t>
    <phoneticPr fontId="2" type="noConversion"/>
  </si>
  <si>
    <t>7FBRK9-10137</t>
    <phoneticPr fontId="2" type="noConversion"/>
  </si>
  <si>
    <t>震穎</t>
    <phoneticPr fontId="2" type="noConversion"/>
  </si>
  <si>
    <t>立式電動</t>
    <phoneticPr fontId="2" type="noConversion"/>
  </si>
  <si>
    <t>108.06.06</t>
    <phoneticPr fontId="2" type="noConversion"/>
  </si>
  <si>
    <t>SHINKO</t>
    <phoneticPr fontId="2" type="noConversion"/>
  </si>
  <si>
    <t>109.04.23</t>
    <phoneticPr fontId="2" type="noConversion"/>
  </si>
  <si>
    <t>進鑫</t>
    <phoneticPr fontId="2" type="noConversion"/>
  </si>
  <si>
    <t>座式柴油</t>
    <phoneticPr fontId="2" type="noConversion"/>
  </si>
  <si>
    <t>TOYOTA</t>
    <phoneticPr fontId="2" type="noConversion"/>
  </si>
  <si>
    <t>7FD25-29961</t>
    <phoneticPr fontId="2" type="noConversion"/>
  </si>
  <si>
    <t>106.08.17</t>
    <phoneticPr fontId="2" type="noConversion"/>
  </si>
  <si>
    <t>2003.10.翻牙.前四輪</t>
    <phoneticPr fontId="2" type="noConversion"/>
  </si>
  <si>
    <t>報單貼紙</t>
    <phoneticPr fontId="2" type="noConversion"/>
  </si>
  <si>
    <t>中租</t>
    <phoneticPr fontId="2" type="noConversion"/>
  </si>
  <si>
    <t>109.05.08</t>
    <phoneticPr fontId="2" type="noConversion"/>
  </si>
  <si>
    <t>翻牙 /1994年</t>
    <phoneticPr fontId="2" type="noConversion"/>
  </si>
  <si>
    <t>109.05.11出車</t>
    <phoneticPr fontId="2" type="noConversion"/>
  </si>
  <si>
    <r>
      <t>FD</t>
    </r>
    <r>
      <rPr>
        <b/>
        <sz val="12"/>
        <rFont val="新細明體"/>
        <family val="1"/>
        <charset val="136"/>
      </rPr>
      <t>25</t>
    </r>
    <r>
      <rPr>
        <sz val="12"/>
        <rFont val="新細明體"/>
        <family val="1"/>
        <charset val="136"/>
      </rPr>
      <t xml:space="preserve">Z4-27F61780  </t>
    </r>
    <r>
      <rPr>
        <b/>
        <sz val="12"/>
        <rFont val="新細明體"/>
        <family val="1"/>
        <charset val="136"/>
      </rPr>
      <t xml:space="preserve"> </t>
    </r>
    <phoneticPr fontId="2" type="noConversion"/>
  </si>
  <si>
    <t>明順塑膠</t>
    <phoneticPr fontId="2" type="noConversion"/>
  </si>
  <si>
    <t>8FBRN13-R1G-10108</t>
    <phoneticPr fontId="2" type="noConversion"/>
  </si>
  <si>
    <t>109.05.16</t>
    <phoneticPr fontId="2" type="noConversion"/>
  </si>
  <si>
    <t>109.05.16</t>
    <phoneticPr fontId="2" type="noConversion"/>
  </si>
  <si>
    <t>摩登</t>
    <phoneticPr fontId="2" type="noConversion"/>
  </si>
  <si>
    <t>109.05.20出車</t>
    <phoneticPr fontId="2" type="noConversion"/>
  </si>
  <si>
    <t>4FBL10-15116</t>
    <phoneticPr fontId="2" type="noConversion"/>
  </si>
  <si>
    <t>8FBR25-R2B-00086</t>
    <phoneticPr fontId="2" type="noConversion"/>
  </si>
  <si>
    <t>TCM</t>
    <phoneticPr fontId="2" type="noConversion"/>
  </si>
  <si>
    <t>109.02.19</t>
    <phoneticPr fontId="2" type="noConversion"/>
  </si>
  <si>
    <t>7FDK40-13023</t>
    <phoneticPr fontId="2" type="noConversion"/>
  </si>
  <si>
    <t>雙霖</t>
    <phoneticPr fontId="2" type="noConversion"/>
  </si>
  <si>
    <t>101.03.20</t>
    <phoneticPr fontId="2" type="noConversion"/>
  </si>
  <si>
    <t>101.03.20</t>
    <phoneticPr fontId="2" type="noConversion"/>
  </si>
  <si>
    <t xml:space="preserve">101/03/27出售          </t>
    <phoneticPr fontId="2" type="noConversion"/>
  </si>
  <si>
    <t>雙霖-凱薩克</t>
    <phoneticPr fontId="2" type="noConversion"/>
  </si>
  <si>
    <t>5/28寄出</t>
    <phoneticPr fontId="2" type="noConversion"/>
  </si>
  <si>
    <t>隨發票讓老闆拿去</t>
    <phoneticPr fontId="2" type="noConversion"/>
  </si>
  <si>
    <t>大慶</t>
    <phoneticPr fontId="2" type="noConversion"/>
  </si>
  <si>
    <t>2012/03，換拱改翻牙.三截</t>
    <phoneticPr fontId="2" type="noConversion"/>
  </si>
  <si>
    <t>FB25-8-7P430868</t>
    <phoneticPr fontId="2" type="noConversion"/>
  </si>
  <si>
    <t>109.06.02</t>
    <phoneticPr fontId="2" type="noConversion"/>
  </si>
  <si>
    <t>2014.07，48V 600AH</t>
    <phoneticPr fontId="2" type="noConversion"/>
  </si>
  <si>
    <t>金尚品</t>
    <phoneticPr fontId="2" type="noConversion"/>
  </si>
  <si>
    <t>109.05.25出車</t>
    <phoneticPr fontId="2" type="noConversion"/>
  </si>
  <si>
    <t>48V，260/270AH，2012.08 / 改拱…左右側移.三截貨櫃</t>
    <phoneticPr fontId="2" type="noConversion"/>
  </si>
  <si>
    <t>1999.11(2008)，</t>
    <phoneticPr fontId="2" type="noConversion"/>
  </si>
  <si>
    <t>KOMATSU</t>
    <phoneticPr fontId="2" type="noConversion"/>
  </si>
  <si>
    <t>FB25EX5-83862</t>
    <phoneticPr fontId="2" type="noConversion"/>
  </si>
  <si>
    <t>109.06.05</t>
    <phoneticPr fontId="2" type="noConversion"/>
  </si>
  <si>
    <t>1997.01，48V 565AH</t>
    <phoneticPr fontId="2" type="noConversion"/>
  </si>
  <si>
    <t>TCM/UNI</t>
    <phoneticPr fontId="2" type="noConversion"/>
  </si>
  <si>
    <t>109.06.03</t>
    <phoneticPr fontId="2" type="noConversion"/>
  </si>
  <si>
    <t>健騰</t>
    <phoneticPr fontId="2" type="noConversion"/>
  </si>
  <si>
    <t>109.05.27出車</t>
    <phoneticPr fontId="2" type="noConversion"/>
  </si>
  <si>
    <t>聯吉</t>
    <phoneticPr fontId="2" type="noConversion"/>
  </si>
  <si>
    <t>109.06.08出車</t>
    <phoneticPr fontId="2" type="noConversion"/>
  </si>
  <si>
    <t>109.06.15出車</t>
    <phoneticPr fontId="2" type="noConversion"/>
  </si>
  <si>
    <t>未給</t>
    <phoneticPr fontId="2" type="noConversion"/>
  </si>
  <si>
    <t>6/16寄出</t>
    <phoneticPr fontId="2" type="noConversion"/>
  </si>
  <si>
    <t>6/16寄出</t>
    <phoneticPr fontId="2" type="noConversion"/>
  </si>
  <si>
    <t>7FB18-10491</t>
    <phoneticPr fontId="2" type="noConversion"/>
  </si>
  <si>
    <t>座式電動</t>
  </si>
  <si>
    <t>109.06.18</t>
    <phoneticPr fontId="2" type="noConversion"/>
  </si>
  <si>
    <t>7FBE13-52219</t>
    <phoneticPr fontId="2" type="noConversion"/>
  </si>
  <si>
    <t>109.05.08</t>
    <phoneticPr fontId="2" type="noConversion"/>
  </si>
  <si>
    <t>FB25-8-7P430868</t>
    <phoneticPr fontId="2" type="noConversion"/>
  </si>
  <si>
    <t>109.06.02</t>
    <phoneticPr fontId="2" type="noConversion"/>
  </si>
  <si>
    <t>7FBL18-14602</t>
    <phoneticPr fontId="2" type="noConversion"/>
  </si>
  <si>
    <t>台鑫</t>
    <phoneticPr fontId="2" type="noConversion"/>
  </si>
  <si>
    <t>中興</t>
    <phoneticPr fontId="2" type="noConversion"/>
  </si>
  <si>
    <t>109.06.20出車</t>
    <phoneticPr fontId="2" type="noConversion"/>
  </si>
  <si>
    <t>109.07.01</t>
    <phoneticPr fontId="2" type="noConversion"/>
  </si>
  <si>
    <t>立式電動</t>
    <phoneticPr fontId="2" type="noConversion"/>
  </si>
  <si>
    <t>7FBRS18-11605</t>
    <phoneticPr fontId="2" type="noConversion"/>
  </si>
  <si>
    <t>109.06.15</t>
    <phoneticPr fontId="2" type="noConversion"/>
  </si>
  <si>
    <t>報單貼紙</t>
    <phoneticPr fontId="2" type="noConversion"/>
  </si>
  <si>
    <t>報單貼紙</t>
    <phoneticPr fontId="2" type="noConversion"/>
  </si>
  <si>
    <t>48V 702AH</t>
    <phoneticPr fontId="2" type="noConversion"/>
  </si>
  <si>
    <t>48V 470AH，2008.05</t>
    <phoneticPr fontId="2" type="noConversion"/>
  </si>
  <si>
    <t>2003.01</t>
    <phoneticPr fontId="2" type="noConversion"/>
  </si>
  <si>
    <t>福興</t>
    <phoneticPr fontId="2" type="noConversion"/>
  </si>
  <si>
    <t>進口報單</t>
    <phoneticPr fontId="2" type="noConversion"/>
  </si>
  <si>
    <t>中興</t>
    <phoneticPr fontId="2" type="noConversion"/>
  </si>
  <si>
    <t>109.07.02</t>
    <phoneticPr fontId="2" type="noConversion"/>
  </si>
  <si>
    <t>座式柴油</t>
    <phoneticPr fontId="2" type="noConversion"/>
  </si>
  <si>
    <t>震穎</t>
    <phoneticPr fontId="2" type="noConversion"/>
  </si>
  <si>
    <t>立式電動</t>
    <phoneticPr fontId="2" type="noConversion"/>
  </si>
  <si>
    <t>TCM</t>
    <phoneticPr fontId="2" type="noConversion"/>
  </si>
  <si>
    <t>FR15-7-82M01458</t>
    <phoneticPr fontId="2" type="noConversion"/>
  </si>
  <si>
    <t>108.11.14</t>
    <phoneticPr fontId="2" type="noConversion"/>
  </si>
  <si>
    <t>2005.12，48V 280AH</t>
    <phoneticPr fontId="2" type="noConversion"/>
  </si>
  <si>
    <t>報單貼紙</t>
    <phoneticPr fontId="2" type="noConversion"/>
  </si>
  <si>
    <t>FD80Z7-58001021</t>
    <phoneticPr fontId="2" type="noConversion"/>
  </si>
  <si>
    <t>沒報單</t>
    <phoneticPr fontId="2" type="noConversion"/>
  </si>
  <si>
    <t>BT-HB24-10055</t>
    <phoneticPr fontId="2" type="noConversion"/>
  </si>
  <si>
    <t>7FB30-11068</t>
    <phoneticPr fontId="2" type="noConversion"/>
  </si>
  <si>
    <t>洪尉嘉</t>
    <phoneticPr fontId="2" type="noConversion"/>
  </si>
  <si>
    <t>109.07.22出車</t>
    <phoneticPr fontId="2" type="noConversion"/>
  </si>
  <si>
    <t>老闆拿</t>
    <phoneticPr fontId="2" type="noConversion"/>
  </si>
  <si>
    <t>影本.正本裁剪</t>
    <phoneticPr fontId="2" type="noConversion"/>
  </si>
  <si>
    <t>61FBR15SCXII-R1H-00452</t>
    <phoneticPr fontId="2" type="noConversion"/>
  </si>
  <si>
    <t>華展</t>
    <phoneticPr fontId="2" type="noConversion"/>
  </si>
  <si>
    <t>FHD25T3-2S500507</t>
    <phoneticPr fontId="2" type="noConversion"/>
  </si>
  <si>
    <t>8FD30(8FDJ35)-33071  生鏽車</t>
    <phoneticPr fontId="2" type="noConversion"/>
  </si>
  <si>
    <t>109.07.22出車</t>
    <phoneticPr fontId="2" type="noConversion"/>
  </si>
  <si>
    <t>家煌拿去</t>
    <phoneticPr fontId="2" type="noConversion"/>
  </si>
  <si>
    <t>7/22老闆拿走</t>
    <phoneticPr fontId="2" type="noConversion"/>
  </si>
  <si>
    <t>華展估回</t>
    <phoneticPr fontId="2" type="noConversion"/>
  </si>
  <si>
    <t>FBA25-10586</t>
    <phoneticPr fontId="2" type="noConversion"/>
  </si>
  <si>
    <t>109.07.31出車</t>
    <phoneticPr fontId="2" type="noConversion"/>
  </si>
  <si>
    <t>NYK</t>
    <phoneticPr fontId="2" type="noConversion"/>
  </si>
  <si>
    <r>
      <t>FBRW</t>
    </r>
    <r>
      <rPr>
        <sz val="12"/>
        <color rgb="FF009999"/>
        <rFont val="新細明體"/>
        <family val="1"/>
        <charset val="136"/>
      </rPr>
      <t>15-63-131AC0175</t>
    </r>
    <phoneticPr fontId="2" type="noConversion"/>
  </si>
  <si>
    <t>3FB9-50564</t>
    <phoneticPr fontId="2" type="noConversion"/>
  </si>
  <si>
    <t>FB28PN-75B-450SF-241C03695</t>
    <phoneticPr fontId="2" type="noConversion"/>
  </si>
  <si>
    <t>FB25-7-81N07407</t>
    <phoneticPr fontId="2" type="noConversion"/>
  </si>
  <si>
    <t>BT</t>
    <phoneticPr fontId="2" type="noConversion"/>
  </si>
  <si>
    <t>109.07.30</t>
    <phoneticPr fontId="2" type="noConversion"/>
  </si>
  <si>
    <t>2007</t>
    <phoneticPr fontId="2" type="noConversion"/>
  </si>
  <si>
    <t>2008</t>
    <phoneticPr fontId="2" type="noConversion"/>
  </si>
  <si>
    <t>TOYOTA</t>
  </si>
  <si>
    <t>5FD25-90419</t>
    <phoneticPr fontId="2" type="noConversion"/>
  </si>
  <si>
    <t>6FBRS15-30493</t>
    <phoneticPr fontId="2" type="noConversion"/>
  </si>
  <si>
    <t>8/18寄出</t>
    <phoneticPr fontId="2" type="noConversion"/>
  </si>
  <si>
    <t>8/18寄出--埔心</t>
    <phoneticPr fontId="2" type="noConversion"/>
  </si>
  <si>
    <t>本廠</t>
    <phoneticPr fontId="2" type="noConversion"/>
  </si>
  <si>
    <t>座式電動</t>
    <phoneticPr fontId="2" type="noConversion"/>
  </si>
  <si>
    <t>MITSUBISHI</t>
    <phoneticPr fontId="2" type="noConversion"/>
  </si>
  <si>
    <t>FB20-10537</t>
    <phoneticPr fontId="2" type="noConversion"/>
  </si>
  <si>
    <t>109.07.08</t>
    <phoneticPr fontId="2" type="noConversion"/>
  </si>
  <si>
    <t>101.05.08</t>
    <phoneticPr fontId="2" type="noConversion"/>
  </si>
  <si>
    <t>2006</t>
    <phoneticPr fontId="2" type="noConversion"/>
  </si>
  <si>
    <t>7FBE13-52219(三輪)</t>
    <phoneticPr fontId="2" type="noConversion"/>
  </si>
  <si>
    <t>報單</t>
    <phoneticPr fontId="2" type="noConversion"/>
  </si>
  <si>
    <t>TOYOTA</t>
    <phoneticPr fontId="2" type="noConversion"/>
  </si>
  <si>
    <t>7FBR15-62182</t>
    <phoneticPr fontId="2" type="noConversion"/>
  </si>
  <si>
    <t>109.09.02</t>
    <phoneticPr fontId="2" type="noConversion"/>
  </si>
  <si>
    <t>報單貼紙</t>
    <phoneticPr fontId="2" type="noConversion"/>
  </si>
  <si>
    <t>2015.12，48V 280AH</t>
    <phoneticPr fontId="2" type="noConversion"/>
  </si>
  <si>
    <t>嘉振</t>
    <phoneticPr fontId="2" type="noConversion"/>
  </si>
  <si>
    <t>座式柴油</t>
    <phoneticPr fontId="2" type="noConversion"/>
  </si>
  <si>
    <t>109.09.14</t>
    <phoneticPr fontId="2" type="noConversion"/>
  </si>
  <si>
    <t xml:space="preserve">6FBR10-10340  </t>
    <phoneticPr fontId="2" type="noConversion"/>
  </si>
  <si>
    <t>BT  LPE200/8-915948</t>
    <phoneticPr fontId="2" type="noConversion"/>
  </si>
  <si>
    <t>109.09.16</t>
    <phoneticPr fontId="2" type="noConversion"/>
  </si>
  <si>
    <t>2016.06，48V 280AH</t>
    <phoneticPr fontId="2" type="noConversion"/>
  </si>
  <si>
    <t>8FBJ35-59387</t>
    <phoneticPr fontId="2" type="noConversion"/>
  </si>
  <si>
    <t>109.09.14出車</t>
    <phoneticPr fontId="2" type="noConversion"/>
  </si>
  <si>
    <t>9/16連同發票、回郵、合約一起給老闆放桌上</t>
    <phoneticPr fontId="2" type="noConversion"/>
  </si>
  <si>
    <t>新信利/     御銘(發票)</t>
    <phoneticPr fontId="2" type="noConversion"/>
  </si>
  <si>
    <t>玉佃</t>
    <phoneticPr fontId="2" type="noConversion"/>
  </si>
  <si>
    <t>109.09.22出車</t>
    <phoneticPr fontId="2" type="noConversion"/>
  </si>
  <si>
    <t>租賃期間</t>
    <phoneticPr fontId="2" type="noConversion"/>
  </si>
  <si>
    <t>109.01.01-109.12.31</t>
    <phoneticPr fontId="2" type="noConversion"/>
  </si>
  <si>
    <t>109.04.27-109.12.31</t>
    <phoneticPr fontId="2" type="noConversion"/>
  </si>
  <si>
    <t>109.06.01-109.12.31</t>
    <phoneticPr fontId="2" type="noConversion"/>
  </si>
  <si>
    <t>109.07.01-110.06.30</t>
  </si>
  <si>
    <t>109.07.01-110.06.30</t>
    <phoneticPr fontId="2" type="noConversion"/>
  </si>
  <si>
    <t>109.02.03-109.12.31</t>
    <phoneticPr fontId="2" type="noConversion"/>
  </si>
  <si>
    <t>109.01.20-110.01.19</t>
    <phoneticPr fontId="2" type="noConversion"/>
  </si>
  <si>
    <t>109.03.01-110.02.28</t>
    <phoneticPr fontId="2" type="noConversion"/>
  </si>
  <si>
    <t>109.08.14-109.12.31</t>
    <phoneticPr fontId="2" type="noConversion"/>
  </si>
  <si>
    <t>109.01.05-110.01.04</t>
    <phoneticPr fontId="2" type="noConversion"/>
  </si>
  <si>
    <t>109.10.12-110.10.11</t>
  </si>
  <si>
    <t>109.07.24-109.12.31</t>
  </si>
  <si>
    <t>109.05.15-109.11.14</t>
  </si>
  <si>
    <t>109.08.21-110.08.20</t>
  </si>
  <si>
    <t>109.04.03-110.04.02</t>
  </si>
  <si>
    <t>109.03.28-109.12.31</t>
  </si>
  <si>
    <t>109.07.01-109.12.31</t>
  </si>
  <si>
    <t>109.03.24-109.12.31</t>
  </si>
  <si>
    <t>109.05.19-109.12.31</t>
  </si>
  <si>
    <t>109.06.09-109.12.31</t>
  </si>
  <si>
    <t>109.01.30-109.12.31</t>
  </si>
  <si>
    <t>大豐環保</t>
    <phoneticPr fontId="2" type="noConversion"/>
  </si>
  <si>
    <t>一、大豐環保</t>
    <phoneticPr fontId="2" type="noConversion"/>
  </si>
  <si>
    <t>合計</t>
    <phoneticPr fontId="2" type="noConversion"/>
  </si>
  <si>
    <r>
      <t>4JG2FD25</t>
    </r>
    <r>
      <rPr>
        <b/>
        <sz val="12"/>
        <color indexed="8"/>
        <rFont val="新細明體"/>
        <family val="1"/>
        <charset val="136"/>
      </rPr>
      <t/>
    </r>
    <phoneticPr fontId="2" type="noConversion"/>
  </si>
  <si>
    <t>租賃地點</t>
    <phoneticPr fontId="2" type="noConversion"/>
  </si>
  <si>
    <t>二、成龍塑膠</t>
    <phoneticPr fontId="2" type="noConversion"/>
  </si>
  <si>
    <t>昇葆環保</t>
  </si>
  <si>
    <t>屏東</t>
    <phoneticPr fontId="2" type="noConversion"/>
  </si>
  <si>
    <t>三、昇葆環保</t>
    <phoneticPr fontId="2" type="noConversion"/>
  </si>
  <si>
    <t>四、貿鴻</t>
    <phoneticPr fontId="2" type="noConversion"/>
  </si>
  <si>
    <t xml:space="preserve">FD40 </t>
    <phoneticPr fontId="2" type="noConversion"/>
  </si>
  <si>
    <t>五、潔安環保</t>
    <phoneticPr fontId="2" type="noConversion"/>
  </si>
  <si>
    <t>六、慶豐富</t>
    <phoneticPr fontId="2" type="noConversion"/>
  </si>
  <si>
    <t>SUMITOMO/住友</t>
    <phoneticPr fontId="2" type="noConversion"/>
  </si>
  <si>
    <t>黃忠義</t>
    <phoneticPr fontId="2" type="noConversion"/>
  </si>
  <si>
    <t>109.10.05出車</t>
    <phoneticPr fontId="2" type="noConversion"/>
  </si>
  <si>
    <t>黃福木</t>
    <phoneticPr fontId="2" type="noConversion"/>
  </si>
  <si>
    <t>還借款</t>
    <phoneticPr fontId="2" type="noConversion"/>
  </si>
  <si>
    <t>還借款</t>
    <phoneticPr fontId="2" type="noConversion"/>
  </si>
  <si>
    <t>109.10.22老闆拿進口報單原翻牙，3000MM</t>
    <phoneticPr fontId="2" type="noConversion"/>
  </si>
  <si>
    <t>報單貼紙/讓渡書</t>
    <phoneticPr fontId="2" type="noConversion"/>
  </si>
  <si>
    <t>KOMATSU</t>
    <phoneticPr fontId="2" type="noConversion"/>
  </si>
  <si>
    <t>FB25EX5-83862</t>
    <phoneticPr fontId="2" type="noConversion"/>
  </si>
  <si>
    <t>7FBRS15-52651</t>
    <phoneticPr fontId="2" type="noConversion"/>
  </si>
  <si>
    <t>總豐</t>
    <phoneticPr fontId="2" type="noConversion"/>
  </si>
  <si>
    <t>109.11.17出車</t>
    <phoneticPr fontId="2" type="noConversion"/>
  </si>
  <si>
    <t>109.11.23老闆拿</t>
    <phoneticPr fontId="2" type="noConversion"/>
  </si>
  <si>
    <t>6FBRJ9-31269</t>
    <phoneticPr fontId="2" type="noConversion"/>
  </si>
  <si>
    <t>109.11.26</t>
    <phoneticPr fontId="2" type="noConversion"/>
  </si>
  <si>
    <t>2000.10，24V 280AH</t>
    <phoneticPr fontId="2" type="noConversion"/>
  </si>
  <si>
    <t>109.12.07</t>
    <phoneticPr fontId="2" type="noConversion"/>
  </si>
  <si>
    <t>2008.07，48V 370AH</t>
    <phoneticPr fontId="2" type="noConversion"/>
  </si>
  <si>
    <t>SUMITOMO/住友</t>
  </si>
  <si>
    <t>61-FBRA13WE-R1G-06262</t>
    <phoneticPr fontId="2" type="noConversion"/>
  </si>
  <si>
    <t>109.12.23</t>
    <phoneticPr fontId="2" type="noConversion"/>
  </si>
  <si>
    <t>61-FBR15STE-R1G-15255</t>
    <phoneticPr fontId="2" type="noConversion"/>
  </si>
  <si>
    <t>富雷克</t>
    <phoneticPr fontId="2" type="noConversion"/>
  </si>
  <si>
    <t>和記</t>
    <phoneticPr fontId="2" type="noConversion"/>
  </si>
  <si>
    <t>4FBL10-15116</t>
    <phoneticPr fontId="2" type="noConversion"/>
  </si>
  <si>
    <t>8FBR20T(R2B-02205)</t>
    <phoneticPr fontId="2" type="noConversion"/>
  </si>
  <si>
    <t>110.01.29</t>
    <phoneticPr fontId="2" type="noConversion"/>
  </si>
  <si>
    <t>SHINKO</t>
    <phoneticPr fontId="2" type="noConversion"/>
  </si>
  <si>
    <t>7FBR15-10961</t>
    <phoneticPr fontId="2" type="noConversion"/>
  </si>
  <si>
    <t>110.02.20</t>
    <phoneticPr fontId="2" type="noConversion"/>
  </si>
  <si>
    <t>110.03.02阿豪拿去</t>
    <phoneticPr fontId="2" type="noConversion"/>
  </si>
  <si>
    <t>6FBRS13-30090</t>
    <phoneticPr fontId="2" type="noConversion"/>
  </si>
  <si>
    <t>110.02.26</t>
    <phoneticPr fontId="2" type="noConversion"/>
  </si>
  <si>
    <t>FB30-10-B3C-01200</t>
    <phoneticPr fontId="2" type="noConversion"/>
  </si>
  <si>
    <t>2009.11，48V</t>
    <phoneticPr fontId="2" type="noConversion"/>
  </si>
  <si>
    <t>1997.09，24V</t>
    <phoneticPr fontId="2" type="noConversion"/>
  </si>
  <si>
    <t>1998.01，48V</t>
    <phoneticPr fontId="2" type="noConversion"/>
  </si>
  <si>
    <t>2001.07，48V</t>
    <phoneticPr fontId="2" type="noConversion"/>
  </si>
  <si>
    <t>2006.11，72V</t>
    <phoneticPr fontId="2" type="noConversion"/>
  </si>
  <si>
    <t>震穎</t>
  </si>
  <si>
    <t>6FBR15-10091</t>
  </si>
  <si>
    <t>立達精密</t>
    <phoneticPr fontId="2" type="noConversion"/>
  </si>
  <si>
    <t>109.04.01</t>
    <phoneticPr fontId="2" type="noConversion"/>
  </si>
  <si>
    <t>110.2.23出車</t>
    <phoneticPr fontId="2" type="noConversion"/>
  </si>
  <si>
    <t>110.2.26出車</t>
    <phoneticPr fontId="2" type="noConversion"/>
  </si>
  <si>
    <t>7FBRS15-14622</t>
    <phoneticPr fontId="2" type="noConversion"/>
  </si>
  <si>
    <t>泰泉</t>
    <phoneticPr fontId="2" type="noConversion"/>
  </si>
  <si>
    <t>7FBRS13-10079</t>
    <phoneticPr fontId="2" type="noConversion"/>
  </si>
  <si>
    <t>震穎</t>
    <phoneticPr fontId="2" type="noConversion"/>
  </si>
  <si>
    <t>立式電動</t>
    <phoneticPr fontId="2" type="noConversion"/>
  </si>
  <si>
    <t>KOMATSU</t>
    <phoneticPr fontId="2" type="noConversion"/>
  </si>
  <si>
    <t>KOMATSU</t>
    <phoneticPr fontId="2" type="noConversion"/>
  </si>
  <si>
    <t>FB13RS-12-94466</t>
    <phoneticPr fontId="2" type="noConversion"/>
  </si>
  <si>
    <t>110.03.26</t>
    <phoneticPr fontId="2" type="noConversion"/>
  </si>
  <si>
    <t>報單貼紙</t>
    <phoneticPr fontId="2" type="noConversion"/>
  </si>
  <si>
    <t>110.04.09</t>
    <phoneticPr fontId="2" type="noConversion"/>
  </si>
  <si>
    <t>7FBR15-35692</t>
    <phoneticPr fontId="2" type="noConversion"/>
  </si>
  <si>
    <t>2007.05，48V 201Ah</t>
    <phoneticPr fontId="2" type="noConversion"/>
  </si>
  <si>
    <t>6FBR15-31675</t>
    <phoneticPr fontId="2" type="noConversion"/>
  </si>
  <si>
    <t>110.04.13</t>
    <phoneticPr fontId="2" type="noConversion"/>
  </si>
  <si>
    <t>進鑫</t>
    <phoneticPr fontId="2" type="noConversion"/>
  </si>
  <si>
    <t>楊董</t>
    <phoneticPr fontId="2" type="noConversion"/>
  </si>
  <si>
    <t>110.4.19出車</t>
    <phoneticPr fontId="2" type="noConversion"/>
  </si>
  <si>
    <t>座式電動</t>
    <phoneticPr fontId="2" type="noConversion"/>
  </si>
  <si>
    <t>MITSUBISHI</t>
  </si>
  <si>
    <t>許瑞興</t>
    <phoneticPr fontId="2" type="noConversion"/>
  </si>
  <si>
    <t>109.07.08</t>
  </si>
  <si>
    <t>110.4.26出車</t>
    <phoneticPr fontId="2" type="noConversion"/>
  </si>
  <si>
    <t>110.04.26出車</t>
    <phoneticPr fontId="2" type="noConversion"/>
  </si>
  <si>
    <t>110.04.29出車</t>
    <phoneticPr fontId="2" type="noConversion"/>
  </si>
  <si>
    <t>2009.11，48V，左右側移</t>
    <phoneticPr fontId="2" type="noConversion"/>
  </si>
  <si>
    <t>2001.12，48V</t>
  </si>
  <si>
    <t>110.05.03出車</t>
    <phoneticPr fontId="2" type="noConversion"/>
  </si>
  <si>
    <t>華展</t>
    <phoneticPr fontId="2" type="noConversion"/>
  </si>
  <si>
    <t>A508FDJ35-32813</t>
  </si>
  <si>
    <t>106.03.30</t>
  </si>
  <si>
    <t>2012.01/翻牙</t>
  </si>
  <si>
    <t>震穎</t>
    <phoneticPr fontId="2" type="noConversion"/>
  </si>
  <si>
    <t>FB30-7-81U01738</t>
    <phoneticPr fontId="2" type="noConversion"/>
  </si>
  <si>
    <t>楊董-大泳</t>
    <phoneticPr fontId="2" type="noConversion"/>
  </si>
  <si>
    <t>FJ02M25-302742</t>
    <phoneticPr fontId="2" type="noConversion"/>
  </si>
  <si>
    <t>110.05.08出車</t>
    <phoneticPr fontId="2" type="noConversion"/>
  </si>
  <si>
    <t>和秋</t>
    <phoneticPr fontId="2" type="noConversion"/>
  </si>
  <si>
    <t>楊董-聲至</t>
    <phoneticPr fontId="2" type="noConversion"/>
  </si>
  <si>
    <t>楊董-正泰</t>
    <phoneticPr fontId="2" type="noConversion"/>
  </si>
  <si>
    <t>2001.12，48V，625先生直播網-線西國中對面</t>
    <phoneticPr fontId="2" type="noConversion"/>
  </si>
  <si>
    <t>2004.07，正泰塑膠 福興鄉彰鹿路6段504巷64號</t>
    <phoneticPr fontId="2" type="noConversion"/>
  </si>
  <si>
    <t>鎮安</t>
    <phoneticPr fontId="2" type="noConversion"/>
  </si>
  <si>
    <t>7FBR15-60451</t>
  </si>
  <si>
    <t>110.05.04</t>
  </si>
  <si>
    <t>2015.07，48V</t>
  </si>
  <si>
    <t>7FB20-12586（7FB25）</t>
    <phoneticPr fontId="2" type="noConversion"/>
  </si>
  <si>
    <t>順陽</t>
    <phoneticPr fontId="2" type="noConversion"/>
  </si>
  <si>
    <t>雙霖</t>
    <phoneticPr fontId="2" type="noConversion"/>
  </si>
  <si>
    <t>雙霖</t>
    <phoneticPr fontId="2" type="noConversion"/>
  </si>
  <si>
    <t>2000.11/21.8.9-8孔,18.7.8-8孔      改裝雙開合+修改揚高</t>
    <phoneticPr fontId="2" type="noConversion"/>
  </si>
  <si>
    <t>110.05.18出車</t>
    <phoneticPr fontId="2" type="noConversion"/>
  </si>
  <si>
    <t>110.05.11出車</t>
    <phoneticPr fontId="2" type="noConversion"/>
  </si>
  <si>
    <t>進鑫-歐漾</t>
    <phoneticPr fontId="2" type="noConversion"/>
  </si>
  <si>
    <t>楊董</t>
    <phoneticPr fontId="2" type="noConversion"/>
  </si>
  <si>
    <t>2007.03，48V，左右側移</t>
    <phoneticPr fontId="2" type="noConversion"/>
  </si>
  <si>
    <t>2000/08，左右側移</t>
    <phoneticPr fontId="2" type="noConversion"/>
  </si>
  <si>
    <t>7FBR15-24372</t>
    <phoneticPr fontId="2" type="noConversion"/>
  </si>
  <si>
    <t>TCM</t>
    <phoneticPr fontId="2" type="noConversion"/>
  </si>
  <si>
    <t>FR10-7CH-82B00351</t>
    <phoneticPr fontId="2" type="noConversion"/>
  </si>
  <si>
    <t>110.05.24</t>
    <phoneticPr fontId="2" type="noConversion"/>
  </si>
  <si>
    <t>7FBR15-32373</t>
    <phoneticPr fontId="2" type="noConversion"/>
  </si>
  <si>
    <t>2015.11,48V</t>
    <phoneticPr fontId="2" type="noConversion"/>
  </si>
  <si>
    <t>2010.05，48V</t>
    <phoneticPr fontId="2" type="noConversion"/>
  </si>
  <si>
    <t>業碩-明助</t>
    <phoneticPr fontId="2" type="noConversion"/>
  </si>
  <si>
    <t>業碩</t>
    <phoneticPr fontId="2" type="noConversion"/>
  </si>
  <si>
    <t>進鑫</t>
  </si>
  <si>
    <t>TCM</t>
  </si>
  <si>
    <t>FD45T9-43G01763</t>
  </si>
  <si>
    <t>106.07.11</t>
  </si>
  <si>
    <t>2006/平夾</t>
    <phoneticPr fontId="2" type="noConversion"/>
  </si>
  <si>
    <t>龍發</t>
    <phoneticPr fontId="2" type="noConversion"/>
  </si>
  <si>
    <t>2011.48V 280Ah.雙開合，舊機估回</t>
    <phoneticPr fontId="2" type="noConversion"/>
  </si>
  <si>
    <t>10.05.21合約</t>
    <phoneticPr fontId="2" type="noConversion"/>
  </si>
  <si>
    <t>110.05.24出貨</t>
    <phoneticPr fontId="2" type="noConversion"/>
  </si>
  <si>
    <t>110.05.26出貨</t>
    <phoneticPr fontId="2" type="noConversion"/>
  </si>
  <si>
    <t>110.06.01出貨</t>
    <phoneticPr fontId="2" type="noConversion"/>
  </si>
  <si>
    <t>6FBR15-12531</t>
    <phoneticPr fontId="2" type="noConversion"/>
  </si>
  <si>
    <t>110.06.01</t>
    <phoneticPr fontId="2" type="noConversion"/>
  </si>
  <si>
    <t>換車抵貨款</t>
    <phoneticPr fontId="2" type="noConversion"/>
  </si>
  <si>
    <t>48V</t>
    <phoneticPr fontId="2" type="noConversion"/>
  </si>
  <si>
    <t>龍發估回</t>
    <phoneticPr fontId="2" type="noConversion"/>
  </si>
  <si>
    <t>沒報單</t>
    <phoneticPr fontId="2" type="noConversion"/>
  </si>
  <si>
    <t>新麗</t>
  </si>
  <si>
    <t>6FD25-13059</t>
    <phoneticPr fontId="2" type="noConversion"/>
  </si>
  <si>
    <t>106.06.09</t>
  </si>
  <si>
    <t>進口報單</t>
    <phoneticPr fontId="2" type="noConversion"/>
  </si>
  <si>
    <t>1994，三截，左右側移，(含稅)</t>
    <phoneticPr fontId="2" type="noConversion"/>
  </si>
  <si>
    <t>7FBRS25-11303</t>
    <phoneticPr fontId="2" type="noConversion"/>
  </si>
  <si>
    <t>110.06.02</t>
  </si>
  <si>
    <t>順陽</t>
    <phoneticPr fontId="2" type="noConversion"/>
  </si>
  <si>
    <t>110.06.08出貨</t>
    <phoneticPr fontId="2" type="noConversion"/>
  </si>
  <si>
    <t>110.06.23出貨</t>
    <phoneticPr fontId="2" type="noConversion"/>
  </si>
  <si>
    <t>估回改裝雙開合，1998.最大荷重900</t>
    <phoneticPr fontId="2" type="noConversion"/>
  </si>
  <si>
    <t>NYK</t>
    <phoneticPr fontId="2" type="noConversion"/>
  </si>
  <si>
    <t>FBRM13-75-450 (121AD7329)</t>
    <phoneticPr fontId="2" type="noConversion"/>
  </si>
  <si>
    <t>2008，24V 390Ah</t>
    <phoneticPr fontId="2" type="noConversion"/>
  </si>
  <si>
    <t>UNICARRIERS</t>
    <phoneticPr fontId="2" type="noConversion"/>
  </si>
  <si>
    <t>1R1F15 (R1H-03966)</t>
    <phoneticPr fontId="2" type="noConversion"/>
  </si>
  <si>
    <t>2013.10，48V 280Ah</t>
    <phoneticPr fontId="2" type="noConversion"/>
  </si>
  <si>
    <t>KOMATSU</t>
    <phoneticPr fontId="2" type="noConversion"/>
  </si>
  <si>
    <t>FB05-3 (12654)</t>
    <phoneticPr fontId="2" type="noConversion"/>
  </si>
  <si>
    <t>1998.08，</t>
    <phoneticPr fontId="2" type="noConversion"/>
  </si>
  <si>
    <t>座式電動</t>
    <phoneticPr fontId="2" type="noConversion"/>
  </si>
  <si>
    <t>7FBRK9-10068</t>
    <phoneticPr fontId="2" type="noConversion"/>
  </si>
  <si>
    <t>NISSAN</t>
    <phoneticPr fontId="2" type="noConversion"/>
  </si>
  <si>
    <t>KU01F09 (R1G-14084)</t>
    <phoneticPr fontId="2" type="noConversion"/>
  </si>
  <si>
    <t>2008.08，48V  201Ah</t>
    <phoneticPr fontId="2" type="noConversion"/>
  </si>
  <si>
    <t>110.06.28出貨</t>
    <phoneticPr fontId="2" type="noConversion"/>
  </si>
  <si>
    <t>辰光</t>
    <phoneticPr fontId="2" type="noConversion"/>
  </si>
  <si>
    <t>2007.左右側移</t>
    <phoneticPr fontId="2" type="noConversion"/>
  </si>
  <si>
    <t>座式柴油</t>
    <phoneticPr fontId="2" type="noConversion"/>
  </si>
  <si>
    <t>TOYOTA</t>
    <phoneticPr fontId="2" type="noConversion"/>
  </si>
  <si>
    <t>50-8FD25-14046</t>
    <phoneticPr fontId="2" type="noConversion"/>
  </si>
  <si>
    <t>106.01.03</t>
    <phoneticPr fontId="2" type="noConversion"/>
  </si>
  <si>
    <t>雙霖</t>
  </si>
  <si>
    <t>110.06.02</t>
    <phoneticPr fontId="2" type="noConversion"/>
  </si>
  <si>
    <t>座式柴油</t>
    <phoneticPr fontId="2" type="noConversion"/>
  </si>
  <si>
    <t>TOYOTA</t>
    <phoneticPr fontId="2" type="noConversion"/>
  </si>
  <si>
    <t>7FD25-31209</t>
    <phoneticPr fontId="2" type="noConversion"/>
  </si>
  <si>
    <t>沒報單</t>
    <phoneticPr fontId="2" type="noConversion"/>
  </si>
  <si>
    <t>台鑫</t>
    <phoneticPr fontId="2" type="noConversion"/>
  </si>
  <si>
    <t>7FD25-27730</t>
    <phoneticPr fontId="2" type="noConversion"/>
  </si>
  <si>
    <t>106.04.10</t>
    <phoneticPr fontId="2" type="noConversion"/>
  </si>
  <si>
    <t>2000.12貨櫃拱，拱換成翻牙</t>
    <phoneticPr fontId="2" type="noConversion"/>
  </si>
  <si>
    <t>阿勇-晉光</t>
    <phoneticPr fontId="2" type="noConversion"/>
  </si>
  <si>
    <t>FB20-10537</t>
    <phoneticPr fontId="2" type="noConversion"/>
  </si>
  <si>
    <t>有佶</t>
    <phoneticPr fontId="2" type="noConversion"/>
  </si>
  <si>
    <t>2002/07</t>
    <phoneticPr fontId="2" type="noConversion"/>
  </si>
  <si>
    <t>沒報單</t>
    <phoneticPr fontId="2" type="noConversion"/>
  </si>
  <si>
    <t>2004.10，48V 320Ah</t>
    <phoneticPr fontId="2" type="noConversion"/>
  </si>
  <si>
    <t>奕聯賴r-晉順</t>
    <phoneticPr fontId="2" type="noConversion"/>
  </si>
  <si>
    <t>座式柴油</t>
    <phoneticPr fontId="2" type="noConversion"/>
  </si>
  <si>
    <t>TCM</t>
    <phoneticPr fontId="2" type="noConversion"/>
  </si>
  <si>
    <t>FD30T4-3B900168</t>
    <phoneticPr fontId="2" type="noConversion"/>
  </si>
  <si>
    <t>106.05.16</t>
    <phoneticPr fontId="2" type="noConversion"/>
  </si>
  <si>
    <t>還借款</t>
    <phoneticPr fontId="2" type="noConversion"/>
  </si>
  <si>
    <t>進鑫</t>
    <phoneticPr fontId="2" type="noConversion"/>
  </si>
  <si>
    <t>110.07.21出貨</t>
    <phoneticPr fontId="2" type="noConversion"/>
  </si>
  <si>
    <t>大阪</t>
    <phoneticPr fontId="2" type="noConversion"/>
  </si>
  <si>
    <t>2002.08/48V</t>
    <phoneticPr fontId="2" type="noConversion"/>
  </si>
  <si>
    <t>展碁-博揚</t>
    <phoneticPr fontId="2" type="noConversion"/>
  </si>
  <si>
    <t>展碁-大阡</t>
    <phoneticPr fontId="2" type="noConversion"/>
  </si>
  <si>
    <t>阿勇-瑞全</t>
    <phoneticPr fontId="2" type="noConversion"/>
  </si>
  <si>
    <r>
      <t xml:space="preserve">FD40  車型： 2JC7FCA                </t>
    </r>
    <r>
      <rPr>
        <b/>
        <sz val="12"/>
        <rFont val="新細明體"/>
        <family val="1"/>
        <charset val="136"/>
      </rPr>
      <t xml:space="preserve">                                    </t>
    </r>
    <r>
      <rPr>
        <sz val="12"/>
        <rFont val="新細明體"/>
        <family val="1"/>
        <charset val="136"/>
      </rPr>
      <t>引擊NO.248261    製造NO.111368</t>
    </r>
    <phoneticPr fontId="2" type="noConversion"/>
  </si>
  <si>
    <t>110.08.02出貨</t>
    <phoneticPr fontId="2" type="noConversion"/>
  </si>
  <si>
    <t>力鋼(昆揚)</t>
    <phoneticPr fontId="2" type="noConversion"/>
  </si>
  <si>
    <t>110.08.04出貨</t>
    <phoneticPr fontId="2" type="noConversion"/>
  </si>
  <si>
    <t>7FBH18-40102</t>
    <phoneticPr fontId="2" type="noConversion"/>
  </si>
  <si>
    <t>座式汽油</t>
  </si>
  <si>
    <t>40-5FG15-14919</t>
  </si>
  <si>
    <t>107.07.09</t>
  </si>
  <si>
    <t>沒報單</t>
    <phoneticPr fontId="2" type="noConversion"/>
  </si>
  <si>
    <t>王永富</t>
  </si>
  <si>
    <t>座式電動</t>
    <phoneticPr fontId="2" type="noConversion"/>
  </si>
  <si>
    <t>FB15EX-8-802772</t>
    <phoneticPr fontId="2" type="noConversion"/>
  </si>
  <si>
    <t>110.08.06</t>
    <phoneticPr fontId="2" type="noConversion"/>
  </si>
  <si>
    <t>2001.07，48V 485Ah</t>
    <phoneticPr fontId="2" type="noConversion"/>
  </si>
  <si>
    <t>沒報單，讓渡書</t>
    <phoneticPr fontId="2" type="noConversion"/>
  </si>
  <si>
    <t>楊董</t>
    <phoneticPr fontId="2" type="noConversion"/>
  </si>
  <si>
    <t>110.08.06出貨</t>
    <phoneticPr fontId="2" type="noConversion"/>
  </si>
  <si>
    <t>7FBRS25-11312</t>
  </si>
  <si>
    <t>威泰</t>
    <phoneticPr fontId="2" type="noConversion"/>
  </si>
  <si>
    <t>110.05.24</t>
  </si>
  <si>
    <t>110.08.12</t>
    <phoneticPr fontId="2" type="noConversion"/>
  </si>
  <si>
    <t>2012.05，</t>
    <phoneticPr fontId="2" type="noConversion"/>
  </si>
  <si>
    <t>FB25HB-11 818770</t>
    <phoneticPr fontId="2" type="noConversion"/>
  </si>
  <si>
    <t>FB25HB-11 820354</t>
    <phoneticPr fontId="2" type="noConversion"/>
  </si>
  <si>
    <t>110.08.13出貨</t>
    <phoneticPr fontId="2" type="noConversion"/>
  </si>
  <si>
    <t>7FBR15-55669</t>
  </si>
  <si>
    <t>110.06.23</t>
  </si>
  <si>
    <t>6FBRK13-10260</t>
    <phoneticPr fontId="2" type="noConversion"/>
  </si>
  <si>
    <t>110.08.19</t>
    <phoneticPr fontId="2" type="noConversion"/>
  </si>
  <si>
    <t>元穩</t>
    <phoneticPr fontId="2" type="noConversion"/>
  </si>
  <si>
    <t>7FBR20-10500</t>
  </si>
  <si>
    <t>110.07.15</t>
  </si>
  <si>
    <t>110.08.23出貨</t>
    <phoneticPr fontId="2" type="noConversion"/>
  </si>
  <si>
    <t>借用銳冠</t>
    <phoneticPr fontId="2" type="noConversion"/>
  </si>
  <si>
    <t>8FBRN13-R1G-10108</t>
  </si>
  <si>
    <t>109.04.23</t>
  </si>
  <si>
    <t>正仲-銳冠</t>
    <phoneticPr fontId="2" type="noConversion"/>
  </si>
  <si>
    <t>2007.02 / 48V 201AH</t>
  </si>
  <si>
    <t>SHINKO</t>
    <phoneticPr fontId="2" type="noConversion"/>
  </si>
  <si>
    <t>FD25T-F18C-74113-612A01013</t>
  </si>
  <si>
    <t>106.01.23</t>
  </si>
  <si>
    <t>2014.12--三截</t>
  </si>
  <si>
    <t>110.09.02出貨</t>
    <phoneticPr fontId="2" type="noConversion"/>
  </si>
  <si>
    <t>松璟</t>
    <phoneticPr fontId="2" type="noConversion"/>
  </si>
  <si>
    <t>進鑫</t>
    <phoneticPr fontId="2" type="noConversion"/>
  </si>
  <si>
    <t>8FD15-11336</t>
  </si>
  <si>
    <t>楊董-嶸騰</t>
    <phoneticPr fontId="2" type="noConversion"/>
  </si>
  <si>
    <t>110.09.03</t>
    <phoneticPr fontId="2" type="noConversion"/>
  </si>
  <si>
    <t>進口報單</t>
    <phoneticPr fontId="2" type="noConversion"/>
  </si>
  <si>
    <t>6FBR15-10529</t>
    <phoneticPr fontId="2" type="noConversion"/>
  </si>
  <si>
    <t>進口報單</t>
    <phoneticPr fontId="2" type="noConversion"/>
  </si>
  <si>
    <t>1999.05，48V 201Ah</t>
    <phoneticPr fontId="2" type="noConversion"/>
  </si>
  <si>
    <t>7FBH25-33820</t>
  </si>
  <si>
    <t>106.07.26</t>
  </si>
  <si>
    <t>2008.01/三截</t>
  </si>
  <si>
    <t>雙霖</t>
    <phoneticPr fontId="2" type="noConversion"/>
  </si>
  <si>
    <t>110.09.28</t>
    <phoneticPr fontId="2" type="noConversion"/>
  </si>
  <si>
    <t>YANMAR</t>
    <phoneticPr fontId="2" type="noConversion"/>
  </si>
  <si>
    <t>挖土機</t>
    <phoneticPr fontId="2" type="noConversion"/>
  </si>
  <si>
    <t>大豐製藥</t>
    <phoneticPr fontId="2" type="noConversion"/>
  </si>
  <si>
    <t>110.08.19</t>
  </si>
  <si>
    <t>110.09.17出貨</t>
    <phoneticPr fontId="2" type="noConversion"/>
  </si>
  <si>
    <t>2014.07，48V</t>
  </si>
  <si>
    <t>7FBRK9-50809</t>
    <phoneticPr fontId="2" type="noConversion"/>
  </si>
  <si>
    <t>2008.05，48V</t>
    <phoneticPr fontId="2" type="noConversion"/>
  </si>
  <si>
    <t>雙霖</t>
    <phoneticPr fontId="2" type="noConversion"/>
  </si>
  <si>
    <t>立式電動</t>
    <phoneticPr fontId="2" type="noConversion"/>
  </si>
  <si>
    <t>NYK</t>
    <phoneticPr fontId="2" type="noConversion"/>
  </si>
  <si>
    <r>
      <t>FBRAW</t>
    </r>
    <r>
      <rPr>
        <b/>
        <sz val="12"/>
        <rFont val="新細明體"/>
        <family val="1"/>
        <charset val="136"/>
      </rPr>
      <t>15</t>
    </r>
    <r>
      <rPr>
        <sz val="12"/>
        <rFont val="新細明體"/>
        <family val="1"/>
        <charset val="136"/>
      </rPr>
      <t>-75</t>
    </r>
    <r>
      <rPr>
        <b/>
        <sz val="12"/>
        <rFont val="新細明體"/>
        <family val="1"/>
        <charset val="136"/>
      </rPr>
      <t>B</t>
    </r>
    <r>
      <rPr>
        <sz val="12"/>
        <rFont val="新細明體"/>
        <family val="1"/>
        <charset val="136"/>
      </rPr>
      <t>-300-131AE9542</t>
    </r>
    <phoneticPr fontId="2" type="noConversion"/>
  </si>
  <si>
    <t>特鼎盛</t>
    <phoneticPr fontId="2" type="noConversion"/>
  </si>
  <si>
    <t>BT</t>
    <phoneticPr fontId="2" type="noConversion"/>
  </si>
  <si>
    <t>BT LPE200/8-6008976</t>
    <phoneticPr fontId="2" type="noConversion"/>
  </si>
  <si>
    <t>活力牌</t>
    <phoneticPr fontId="2" type="noConversion"/>
  </si>
  <si>
    <t>座式電動</t>
    <phoneticPr fontId="2" type="noConversion"/>
  </si>
  <si>
    <t>TOYOTA</t>
    <phoneticPr fontId="2" type="noConversion"/>
  </si>
  <si>
    <t>7FB25-13734</t>
    <phoneticPr fontId="2" type="noConversion"/>
  </si>
  <si>
    <t>103.09.26</t>
    <phoneticPr fontId="2" type="noConversion"/>
  </si>
  <si>
    <t>7FBH25-28456(綠)</t>
    <phoneticPr fontId="2" type="noConversion"/>
  </si>
  <si>
    <t>進鑫</t>
    <phoneticPr fontId="2" type="noConversion"/>
  </si>
  <si>
    <t>6FBR18-30955</t>
    <phoneticPr fontId="2" type="noConversion"/>
  </si>
  <si>
    <t>進口報單</t>
    <phoneticPr fontId="2" type="noConversion"/>
  </si>
  <si>
    <t>6FBR15-10524</t>
    <phoneticPr fontId="2" type="noConversion"/>
  </si>
  <si>
    <t>105.12.16</t>
    <phoneticPr fontId="2" type="noConversion"/>
  </si>
  <si>
    <t>沒報單</t>
    <phoneticPr fontId="2" type="noConversion"/>
  </si>
  <si>
    <t>6FBR13-10112</t>
    <phoneticPr fontId="2" type="noConversion"/>
  </si>
  <si>
    <t>107.08.28</t>
    <phoneticPr fontId="2" type="noConversion"/>
  </si>
  <si>
    <t>48V,201AH-5HR,209AH-6HR</t>
    <phoneticPr fontId="2" type="noConversion"/>
  </si>
  <si>
    <t>103.04.08</t>
    <phoneticPr fontId="2" type="noConversion"/>
  </si>
  <si>
    <t>103.10.08</t>
    <phoneticPr fontId="2" type="noConversion"/>
  </si>
  <si>
    <t>104.07.09</t>
    <phoneticPr fontId="2" type="noConversion"/>
  </si>
  <si>
    <t>2000/08</t>
    <phoneticPr fontId="2" type="noConversion"/>
  </si>
  <si>
    <t>大阪</t>
    <phoneticPr fontId="2" type="noConversion"/>
  </si>
  <si>
    <t>固資</t>
    <phoneticPr fontId="2" type="noConversion"/>
  </si>
  <si>
    <t>110.10.18</t>
    <phoneticPr fontId="2" type="noConversion"/>
  </si>
  <si>
    <t>均牧</t>
    <phoneticPr fontId="2" type="noConversion"/>
  </si>
  <si>
    <t>110.10.22出貨</t>
    <phoneticPr fontId="2" type="noConversion"/>
  </si>
  <si>
    <t>2003.05，48V 165Ah</t>
  </si>
  <si>
    <t>和秋</t>
    <phoneticPr fontId="2" type="noConversion"/>
  </si>
  <si>
    <t>110.10.25出貨</t>
    <phoneticPr fontId="2" type="noConversion"/>
  </si>
  <si>
    <t>110.07.23</t>
  </si>
  <si>
    <t>48V 320Ah 改拱</t>
    <phoneticPr fontId="2" type="noConversion"/>
  </si>
  <si>
    <t>KOMATSU</t>
  </si>
  <si>
    <t>FB15-5-24533</t>
  </si>
  <si>
    <t>110.09.08</t>
  </si>
  <si>
    <t>楊董</t>
    <phoneticPr fontId="2" type="noConversion"/>
  </si>
  <si>
    <t>1990.1，48V 400Ah</t>
  </si>
  <si>
    <t>7FBRK9-10152</t>
    <phoneticPr fontId="2" type="noConversion"/>
  </si>
  <si>
    <t>110.10.26出貨</t>
  </si>
  <si>
    <t>6FBR20-10072</t>
    <phoneticPr fontId="2" type="noConversion"/>
  </si>
  <si>
    <t>110.11.09</t>
    <phoneticPr fontId="2" type="noConversion"/>
  </si>
  <si>
    <t>電動揀料牙叉車</t>
    <phoneticPr fontId="2" type="noConversion"/>
  </si>
  <si>
    <t>110.11.11</t>
    <phoneticPr fontId="2" type="noConversion"/>
  </si>
  <si>
    <t>FB25PN-40B-600MSF-24190221</t>
    <phoneticPr fontId="2" type="noConversion"/>
  </si>
  <si>
    <t>座式電動</t>
    <phoneticPr fontId="2" type="noConversion"/>
  </si>
  <si>
    <t>FBRW15-75BC-500MSF-131AF4855</t>
  </si>
  <si>
    <t>合升</t>
    <phoneticPr fontId="2" type="noConversion"/>
  </si>
  <si>
    <t>110.10.26</t>
  </si>
  <si>
    <t>110.11.17出貨</t>
    <phoneticPr fontId="2" type="noConversion"/>
  </si>
  <si>
    <t>6FBRS13      10063</t>
  </si>
  <si>
    <t>103.05.15</t>
  </si>
  <si>
    <t>103/09/30出售</t>
    <phoneticPr fontId="2" type="noConversion"/>
  </si>
  <si>
    <t>108.10.07</t>
  </si>
  <si>
    <t>玄耕</t>
    <phoneticPr fontId="2" type="noConversion"/>
  </si>
  <si>
    <t>110.11.12出貨</t>
    <phoneticPr fontId="2" type="noConversion"/>
  </si>
  <si>
    <t>永翔興-鼎禾</t>
    <phoneticPr fontId="2" type="noConversion"/>
  </si>
  <si>
    <t>輪胎500-8;650-10</t>
    <phoneticPr fontId="2" type="noConversion"/>
  </si>
  <si>
    <t>6FBRS18-30040</t>
  </si>
  <si>
    <t>102.05.07</t>
  </si>
  <si>
    <t>110.12.08出貨</t>
    <phoneticPr fontId="2" type="noConversion"/>
  </si>
  <si>
    <t xml:space="preserve">三截貨櫃                               </t>
  </si>
  <si>
    <t>6FBRJ9-30275</t>
    <phoneticPr fontId="2" type="noConversion"/>
  </si>
  <si>
    <t>FB15EX-11-807597</t>
  </si>
  <si>
    <t>崑倫</t>
    <phoneticPr fontId="2" type="noConversion"/>
  </si>
  <si>
    <t>110.12.10出貨</t>
    <phoneticPr fontId="2" type="noConversion"/>
  </si>
  <si>
    <t>110.05.17</t>
  </si>
  <si>
    <t>昇上宏</t>
  </si>
  <si>
    <t>7FBRS20-11227</t>
  </si>
  <si>
    <t>2008.09，48V 320Ah</t>
  </si>
  <si>
    <t>110.12.29出貨</t>
    <phoneticPr fontId="2" type="noConversion"/>
  </si>
  <si>
    <t>7FBR15-15087</t>
  </si>
  <si>
    <t>110.10.18</t>
  </si>
  <si>
    <t>2003.09，48V 280Ah</t>
  </si>
  <si>
    <t>FBT10PN-75-300 215AF0378</t>
  </si>
  <si>
    <t>祥豐</t>
    <phoneticPr fontId="2" type="noConversion"/>
  </si>
  <si>
    <t>2009，48V</t>
    <phoneticPr fontId="2" type="noConversion"/>
  </si>
  <si>
    <t>昇上宏</t>
    <phoneticPr fontId="2" type="noConversion"/>
  </si>
  <si>
    <t>110.10.09出貨</t>
    <phoneticPr fontId="2" type="noConversion"/>
  </si>
  <si>
    <t>FB15-6 77H02964</t>
  </si>
  <si>
    <t>110.09.28</t>
  </si>
  <si>
    <t>順陽</t>
    <phoneticPr fontId="2" type="noConversion"/>
  </si>
  <si>
    <t>震穎</t>
    <phoneticPr fontId="2" type="noConversion"/>
  </si>
  <si>
    <t>進鑫</t>
    <phoneticPr fontId="2" type="noConversion"/>
  </si>
  <si>
    <t>40-7FB25-11252</t>
  </si>
  <si>
    <t>106.08.17</t>
  </si>
  <si>
    <t>2011.03.翻牙</t>
  </si>
  <si>
    <t>6FBR25-30029</t>
  </si>
  <si>
    <t>1997，48V 370Ah</t>
  </si>
  <si>
    <t>守毅</t>
    <phoneticPr fontId="2" type="noConversion"/>
  </si>
  <si>
    <t>111.01.05出貨</t>
    <phoneticPr fontId="2" type="noConversion"/>
  </si>
  <si>
    <t>報單贴紙</t>
    <phoneticPr fontId="2" type="noConversion"/>
  </si>
  <si>
    <t>6FBRS15-30930</t>
  </si>
  <si>
    <t>107.11.28</t>
  </si>
  <si>
    <t>1999.08</t>
  </si>
  <si>
    <t>111.01.12出貨</t>
    <phoneticPr fontId="2" type="noConversion"/>
  </si>
  <si>
    <t>111.01.18出貨</t>
    <phoneticPr fontId="2" type="noConversion"/>
  </si>
  <si>
    <t>電動拖板車</t>
  </si>
  <si>
    <t>110.12.28</t>
  </si>
  <si>
    <t>7FBRK9-10137</t>
  </si>
  <si>
    <t>110.12.01出貨</t>
    <phoneticPr fontId="2" type="noConversion"/>
  </si>
  <si>
    <t>2003.04，48V 165AH</t>
  </si>
  <si>
    <t>震穎-玄耕</t>
  </si>
  <si>
    <t>珣睿</t>
    <phoneticPr fontId="2" type="noConversion"/>
  </si>
  <si>
    <t>3FBK9-50711</t>
  </si>
  <si>
    <t>111.01.25出貨</t>
    <phoneticPr fontId="2" type="noConversion"/>
  </si>
  <si>
    <t>景堡</t>
  </si>
  <si>
    <t>111.01.20出貨</t>
    <phoneticPr fontId="2" type="noConversion"/>
  </si>
  <si>
    <t>黃茂洲</t>
    <phoneticPr fontId="2" type="noConversion"/>
  </si>
  <si>
    <t>111.01.03出貨</t>
    <phoneticPr fontId="2" type="noConversion"/>
  </si>
  <si>
    <t>座式柴油</t>
    <phoneticPr fontId="2" type="noConversion"/>
  </si>
  <si>
    <t>NISSAN</t>
  </si>
  <si>
    <t>105.03.29</t>
  </si>
  <si>
    <t>沒報單</t>
  </si>
  <si>
    <t>DA87-60-5FD20    605FD25-10625</t>
  </si>
  <si>
    <t>110.11.01</t>
  </si>
  <si>
    <t>48V</t>
  </si>
  <si>
    <t>元穩</t>
    <phoneticPr fontId="2" type="noConversion"/>
  </si>
  <si>
    <t>WGF03A40U-001175</t>
    <phoneticPr fontId="2" type="noConversion"/>
  </si>
  <si>
    <t>貿鴻</t>
  </si>
  <si>
    <t>景堡估回</t>
    <phoneticPr fontId="2" type="noConversion"/>
  </si>
  <si>
    <t>座式汽油</t>
    <phoneticPr fontId="2" type="noConversion"/>
  </si>
  <si>
    <t>12V,65A</t>
    <phoneticPr fontId="2" type="noConversion"/>
  </si>
  <si>
    <t>111.01.25</t>
    <phoneticPr fontId="2" type="noConversion"/>
  </si>
  <si>
    <t>牧玥</t>
  </si>
  <si>
    <t>6FBR15-30794</t>
  </si>
  <si>
    <t>展碁-沅展</t>
    <phoneticPr fontId="2" type="noConversion"/>
  </si>
  <si>
    <t>進鑫-典洋</t>
    <phoneticPr fontId="2" type="noConversion"/>
  </si>
  <si>
    <t>106.09.05</t>
  </si>
  <si>
    <t>111.02.12出貨</t>
    <phoneticPr fontId="2" type="noConversion"/>
  </si>
  <si>
    <t>111.02.14出貨</t>
    <phoneticPr fontId="2" type="noConversion"/>
  </si>
  <si>
    <t>110.05.13</t>
  </si>
  <si>
    <t>1997.09，48V 280Ah</t>
  </si>
  <si>
    <t>6FBR13-10662  夾子</t>
    <phoneticPr fontId="2" type="noConversion"/>
  </si>
  <si>
    <t>昇上宏</t>
    <phoneticPr fontId="2" type="noConversion"/>
  </si>
  <si>
    <t>110.09.17</t>
    <phoneticPr fontId="2" type="noConversion"/>
  </si>
  <si>
    <t>黃忠義</t>
    <phoneticPr fontId="2" type="noConversion"/>
  </si>
  <si>
    <t>FD25-T20925</t>
    <phoneticPr fontId="2" type="noConversion"/>
  </si>
  <si>
    <t xml:space="preserve">FB25EX-8  810415  </t>
  </si>
  <si>
    <t>穩衛</t>
  </si>
  <si>
    <t>100.06.15</t>
  </si>
  <si>
    <t>夾子改牙叉</t>
    <phoneticPr fontId="2" type="noConversion"/>
  </si>
  <si>
    <t>泰泉估回</t>
    <phoneticPr fontId="2" type="noConversion"/>
  </si>
  <si>
    <t>嘉鴻(二女友)</t>
    <phoneticPr fontId="2" type="noConversion"/>
  </si>
  <si>
    <t>7FB25-36250(藍)</t>
    <phoneticPr fontId="2" type="noConversion"/>
  </si>
  <si>
    <t>110.02.26</t>
    <phoneticPr fontId="2" type="noConversion"/>
  </si>
  <si>
    <t>NYK</t>
    <phoneticPr fontId="2" type="noConversion"/>
  </si>
  <si>
    <t>106.01.18</t>
  </si>
  <si>
    <t>黃茂洲</t>
    <phoneticPr fontId="2" type="noConversion"/>
  </si>
  <si>
    <t>111.03.22出貨</t>
    <phoneticPr fontId="2" type="noConversion"/>
  </si>
  <si>
    <t>7FBRS20-11126</t>
  </si>
  <si>
    <t>7FBR15-17885</t>
  </si>
  <si>
    <t>110.04.09</t>
  </si>
  <si>
    <t>許瑞興</t>
    <phoneticPr fontId="2" type="noConversion"/>
  </si>
  <si>
    <t>111.03.28出貨</t>
    <phoneticPr fontId="2" type="noConversion"/>
  </si>
  <si>
    <t>1991.三截</t>
    <phoneticPr fontId="2" type="noConversion"/>
  </si>
  <si>
    <t>2004，三截</t>
    <phoneticPr fontId="2" type="noConversion"/>
  </si>
  <si>
    <t>111.02.22</t>
  </si>
  <si>
    <t>48V 390Ah，2008.02</t>
  </si>
  <si>
    <t>111.04.01出貨</t>
    <phoneticPr fontId="2" type="noConversion"/>
  </si>
  <si>
    <t>鑫上弘</t>
    <phoneticPr fontId="2" type="noConversion"/>
  </si>
  <si>
    <t>6FBR15-32101 外充機</t>
  </si>
  <si>
    <t>韋盛</t>
  </si>
  <si>
    <t>1998.10，48V</t>
  </si>
  <si>
    <t>奇異</t>
    <phoneticPr fontId="2" type="noConversion"/>
  </si>
  <si>
    <t>FB5P-50-250-211AC1038</t>
  </si>
  <si>
    <t>106.04.24</t>
  </si>
  <si>
    <t>2003</t>
  </si>
  <si>
    <t>6FD30-33382 (FFN6-VA351)</t>
  </si>
  <si>
    <t>105.08.10</t>
  </si>
  <si>
    <t>1998/08  翻牙</t>
  </si>
  <si>
    <t>111.04.14出貨</t>
    <phoneticPr fontId="2" type="noConversion"/>
  </si>
  <si>
    <t>皇崟</t>
  </si>
  <si>
    <t>7FBR15-11429</t>
  </si>
  <si>
    <t>110.08.12</t>
  </si>
  <si>
    <t>璋欣</t>
  </si>
  <si>
    <t>2001.10，48V 280Ah</t>
  </si>
  <si>
    <t>111.04.19出貨</t>
    <phoneticPr fontId="2" type="noConversion"/>
  </si>
  <si>
    <t>111.04.20</t>
    <phoneticPr fontId="2" type="noConversion"/>
  </si>
  <si>
    <t>110.04.13</t>
  </si>
  <si>
    <t>111.04.21</t>
  </si>
  <si>
    <t>6FBR20-10200</t>
    <phoneticPr fontId="2" type="noConversion"/>
  </si>
  <si>
    <t>LSY</t>
  </si>
  <si>
    <t>FTD35 349766  D35389</t>
  </si>
  <si>
    <t>楊董</t>
    <phoneticPr fontId="2" type="noConversion"/>
  </si>
  <si>
    <t>大詠城</t>
  </si>
  <si>
    <t>105.11.18</t>
  </si>
  <si>
    <t>111.04.29出貨</t>
    <phoneticPr fontId="2" type="noConversion"/>
  </si>
  <si>
    <t>翻牙.2008</t>
  </si>
  <si>
    <t>沒報單</t>
    <phoneticPr fontId="2" type="noConversion"/>
  </si>
  <si>
    <t>沒錢</t>
    <phoneticPr fontId="2" type="noConversion"/>
  </si>
  <si>
    <t>106.08.18</t>
  </si>
  <si>
    <t>2010.06  48V 845AH</t>
  </si>
  <si>
    <t>報單</t>
  </si>
  <si>
    <t>111.05.04出貨</t>
    <phoneticPr fontId="2" type="noConversion"/>
  </si>
  <si>
    <t>活力牌</t>
  </si>
  <si>
    <t>103.09.26</t>
  </si>
  <si>
    <t>沒報單</t>
    <phoneticPr fontId="2" type="noConversion"/>
  </si>
  <si>
    <t>7FD18-22044</t>
    <phoneticPr fontId="2" type="noConversion"/>
  </si>
  <si>
    <t>7FB25-13734</t>
    <phoneticPr fontId="2" type="noConversion"/>
  </si>
  <si>
    <t>111.05.06老闆拿走</t>
    <phoneticPr fontId="2" type="noConversion"/>
  </si>
  <si>
    <t>111.05.06老闆拿走</t>
    <phoneticPr fontId="2" type="noConversion"/>
  </si>
  <si>
    <t>7FD35-50427</t>
    <phoneticPr fontId="2" type="noConversion"/>
  </si>
  <si>
    <t>高空作業車</t>
    <phoneticPr fontId="2" type="noConversion"/>
  </si>
  <si>
    <t>111.03.22</t>
  </si>
  <si>
    <t>奕昌</t>
    <phoneticPr fontId="2" type="noConversion"/>
  </si>
  <si>
    <t>48V 370AH 外充機.側拉架.2008</t>
    <phoneticPr fontId="2" type="noConversion"/>
  </si>
  <si>
    <t>桓展</t>
    <phoneticPr fontId="2" type="noConversion"/>
  </si>
  <si>
    <t>SV08B-709839</t>
    <phoneticPr fontId="2" type="noConversion"/>
  </si>
  <si>
    <t>111.05.11</t>
    <phoneticPr fontId="2" type="noConversion"/>
  </si>
  <si>
    <t>楊董</t>
    <phoneticPr fontId="2" type="noConversion"/>
  </si>
  <si>
    <t>110.11.09</t>
  </si>
  <si>
    <t>111.05.12出貨</t>
    <phoneticPr fontId="2" type="noConversion"/>
  </si>
  <si>
    <t>改拱60000</t>
    <phoneticPr fontId="2" type="noConversion"/>
  </si>
  <si>
    <t>111.05.13出貨</t>
  </si>
  <si>
    <t>6FBRS15-10280</t>
    <phoneticPr fontId="2" type="noConversion"/>
  </si>
  <si>
    <t>報單貼紙</t>
    <phoneticPr fontId="2" type="noConversion"/>
  </si>
  <si>
    <t>AICHI</t>
    <phoneticPr fontId="2" type="noConversion"/>
  </si>
  <si>
    <t>展碁-龍圻</t>
    <phoneticPr fontId="2" type="noConversion"/>
  </si>
  <si>
    <t>FBRAW15-60B 131AB4116</t>
  </si>
  <si>
    <t>103.01.13</t>
  </si>
  <si>
    <t>三截貨櫃、左右側移;1998</t>
  </si>
  <si>
    <t>111.05.25出貨</t>
  </si>
  <si>
    <t>50-8FD30  A508FDJ35-30110</t>
  </si>
  <si>
    <t>106.03.14</t>
  </si>
  <si>
    <t>7/18老闆拿進口報單.賣日進無報單</t>
    <phoneticPr fontId="2" type="noConversion"/>
  </si>
  <si>
    <t>日進-展碁</t>
    <phoneticPr fontId="2" type="noConversion"/>
  </si>
  <si>
    <t>前雙輪.2009.09.跟展碁說賣30萬付一半15萬</t>
    <phoneticPr fontId="2" type="noConversion"/>
  </si>
  <si>
    <t>111.06.22出貨</t>
    <phoneticPr fontId="2" type="noConversion"/>
  </si>
  <si>
    <t>110.10.13</t>
  </si>
  <si>
    <t>大豐製藥估回</t>
  </si>
  <si>
    <t>寰宇</t>
  </si>
  <si>
    <t>7FBRS15-11897</t>
  </si>
  <si>
    <t>108.07.23</t>
  </si>
  <si>
    <r>
      <t xml:space="preserve">48V,280AH / 2004.07 </t>
    </r>
    <r>
      <rPr>
        <b/>
        <sz val="12"/>
        <color rgb="FF7030A0"/>
        <rFont val="新細明體"/>
        <family val="1"/>
        <charset val="136"/>
        <scheme val="minor"/>
      </rPr>
      <t>改左右側移</t>
    </r>
    <phoneticPr fontId="2" type="noConversion"/>
  </si>
  <si>
    <t>造盛</t>
    <phoneticPr fontId="2" type="noConversion"/>
  </si>
  <si>
    <t>111.06.30出貨</t>
    <phoneticPr fontId="2" type="noConversion"/>
  </si>
  <si>
    <t>無報單</t>
  </si>
  <si>
    <t>6FBR15-30614</t>
  </si>
  <si>
    <t>105.10.24</t>
  </si>
  <si>
    <t>111.07.04出貨</t>
    <phoneticPr fontId="2" type="noConversion"/>
  </si>
  <si>
    <t>大有</t>
    <phoneticPr fontId="2" type="noConversion"/>
  </si>
  <si>
    <t>吳偉傑估回</t>
  </si>
  <si>
    <t>立勤</t>
    <phoneticPr fontId="2" type="noConversion"/>
  </si>
  <si>
    <t>111.05.11</t>
  </si>
  <si>
    <r>
      <t xml:space="preserve">1997/07 三截 </t>
    </r>
    <r>
      <rPr>
        <b/>
        <sz val="12"/>
        <color rgb="FF7030A0"/>
        <rFont val="新細明體"/>
        <family val="1"/>
        <charset val="136"/>
        <scheme val="minor"/>
      </rPr>
      <t>改左右側移</t>
    </r>
    <phoneticPr fontId="2" type="noConversion"/>
  </si>
  <si>
    <r>
      <t xml:space="preserve">48V ，1998.12 </t>
    </r>
    <r>
      <rPr>
        <b/>
        <sz val="12"/>
        <color rgb="FF7030A0"/>
        <rFont val="新細明體"/>
        <family val="1"/>
        <charset val="136"/>
        <scheme val="minor"/>
      </rPr>
      <t>改左右側移</t>
    </r>
    <phoneticPr fontId="2" type="noConversion"/>
  </si>
  <si>
    <t>111.06.13出貨</t>
    <phoneticPr fontId="2" type="noConversion"/>
  </si>
  <si>
    <t>高空作業車</t>
  </si>
  <si>
    <t>110.12.22</t>
  </si>
  <si>
    <t>辰光客高雄</t>
    <phoneticPr fontId="2" type="noConversion"/>
  </si>
  <si>
    <t>104.07.09</t>
    <phoneticPr fontId="2" type="noConversion"/>
  </si>
  <si>
    <t>FP01L15-005937</t>
    <phoneticPr fontId="2" type="noConversion"/>
  </si>
  <si>
    <t>103.04.12</t>
    <phoneticPr fontId="2" type="noConversion"/>
  </si>
  <si>
    <t>106.02.08出貨</t>
    <phoneticPr fontId="2" type="noConversion"/>
  </si>
  <si>
    <t>大阪→-雅好</t>
    <phoneticPr fontId="2" type="noConversion"/>
  </si>
  <si>
    <t>永翔興取回</t>
    <phoneticPr fontId="2" type="noConversion"/>
  </si>
  <si>
    <t>6FBR18-33810</t>
    <phoneticPr fontId="2" type="noConversion"/>
  </si>
  <si>
    <t>111.08.10出貨</t>
    <phoneticPr fontId="2" type="noConversion"/>
  </si>
  <si>
    <t>辰光</t>
    <phoneticPr fontId="2" type="noConversion"/>
  </si>
  <si>
    <t xml:space="preserve">2000.05月        </t>
  </si>
  <si>
    <t>德技估回</t>
  </si>
  <si>
    <t>TADANO</t>
  </si>
  <si>
    <t>111.07.05</t>
  </si>
  <si>
    <t>111.08.02出貨</t>
    <phoneticPr fontId="2" type="noConversion"/>
  </si>
  <si>
    <t>6FBR15-11506</t>
  </si>
  <si>
    <t>1996,48V 201Ah</t>
  </si>
  <si>
    <t>FBRW15-75BC-500MSF 131AF4837</t>
    <phoneticPr fontId="2" type="noConversion"/>
  </si>
  <si>
    <t>PLD15S-50-A10  321AB1421</t>
    <phoneticPr fontId="2" type="noConversion"/>
  </si>
  <si>
    <t>111.04.01</t>
  </si>
  <si>
    <t>111.08.13出貨</t>
  </si>
  <si>
    <t>加裝貨櫃拱.48V 280Ah，2005.11</t>
    <phoneticPr fontId="2" type="noConversion"/>
  </si>
  <si>
    <t>無報單</t>
    <phoneticPr fontId="2" type="noConversion"/>
  </si>
  <si>
    <t>丞俐</t>
    <phoneticPr fontId="2" type="noConversion"/>
  </si>
  <si>
    <t>自重480KG，12V 250Ah，牙1070mm，2013</t>
    <phoneticPr fontId="2" type="noConversion"/>
  </si>
  <si>
    <t>TADANO</t>
    <phoneticPr fontId="2" type="noConversion"/>
  </si>
  <si>
    <t>AP-42 ZA-3069垂直升降型</t>
    <phoneticPr fontId="2" type="noConversion"/>
  </si>
  <si>
    <t>1650*750*H1650，自重630KG，AC100V，2010</t>
    <phoneticPr fontId="2" type="noConversion"/>
  </si>
  <si>
    <t>報單</t>
    <phoneticPr fontId="2" type="noConversion"/>
  </si>
  <si>
    <t>RB10D-70B-450  415AD2963</t>
    <phoneticPr fontId="2" type="noConversion"/>
  </si>
  <si>
    <t>48V 240Ah，2016</t>
    <phoneticPr fontId="2" type="noConversion"/>
  </si>
  <si>
    <t>報單貼紙</t>
    <phoneticPr fontId="2" type="noConversion"/>
  </si>
  <si>
    <t>1995，48V 280AH</t>
    <phoneticPr fontId="2" type="noConversion"/>
  </si>
  <si>
    <t>2001.04，48V 400Ah</t>
    <phoneticPr fontId="2" type="noConversion"/>
  </si>
  <si>
    <t>報單貼紙</t>
    <phoneticPr fontId="2" type="noConversion"/>
  </si>
  <si>
    <t>未給</t>
    <phoneticPr fontId="2" type="noConversion"/>
  </si>
  <si>
    <t>VI015 S/N 01472B</t>
    <phoneticPr fontId="2" type="noConversion"/>
  </si>
  <si>
    <t>未給</t>
    <phoneticPr fontId="2" type="noConversion"/>
  </si>
  <si>
    <t>8FBR15T RIG-13457</t>
    <phoneticPr fontId="2" type="noConversion"/>
  </si>
  <si>
    <t>2008，48V 370Ah</t>
    <phoneticPr fontId="2" type="noConversion"/>
  </si>
  <si>
    <t>1995，48V 280Ah</t>
    <phoneticPr fontId="2" type="noConversion"/>
  </si>
  <si>
    <t>1979，48V 545Ah</t>
    <phoneticPr fontId="2" type="noConversion"/>
  </si>
  <si>
    <t>報單</t>
    <phoneticPr fontId="2" type="noConversion"/>
  </si>
  <si>
    <t>報單</t>
    <phoneticPr fontId="2" type="noConversion"/>
  </si>
  <si>
    <t>瀅愉</t>
    <phoneticPr fontId="2" type="noConversion"/>
  </si>
  <si>
    <t>111.08.12出貨</t>
    <phoneticPr fontId="2" type="noConversion"/>
  </si>
  <si>
    <t>報單貼紙</t>
    <phoneticPr fontId="2" type="noConversion"/>
  </si>
  <si>
    <t>111.9/27莉支票順送</t>
    <phoneticPr fontId="2" type="noConversion"/>
  </si>
  <si>
    <t>3FBK5-10866</t>
  </si>
  <si>
    <t>109.11.26</t>
  </si>
  <si>
    <t>111.10.16出貨</t>
    <phoneticPr fontId="2" type="noConversion"/>
  </si>
  <si>
    <t>2006.03，24V</t>
  </si>
  <si>
    <t>天瑞水電</t>
    <phoneticPr fontId="2" type="noConversion"/>
  </si>
  <si>
    <t>111.10/17補寄發票及報單貼紙</t>
    <phoneticPr fontId="2" type="noConversion"/>
  </si>
  <si>
    <t>111.10.13</t>
  </si>
  <si>
    <t>3節貨櫃，48V 201Ah，2014.12</t>
  </si>
  <si>
    <t>111.10.18出貨</t>
    <phoneticPr fontId="2" type="noConversion"/>
  </si>
  <si>
    <t>台鑫</t>
    <phoneticPr fontId="2" type="noConversion"/>
  </si>
  <si>
    <t>蓋亞</t>
    <phoneticPr fontId="2" type="noConversion"/>
  </si>
  <si>
    <t>7FBR10-51324</t>
    <phoneticPr fontId="2" type="noConversion"/>
  </si>
  <si>
    <t>無報單</t>
    <phoneticPr fontId="2" type="noConversion"/>
  </si>
  <si>
    <t>報單</t>
    <phoneticPr fontId="2" type="noConversion"/>
  </si>
  <si>
    <t>111.11/2煌親送</t>
    <phoneticPr fontId="2" type="noConversion"/>
  </si>
  <si>
    <t>6FBR14-30388</t>
  </si>
  <si>
    <t>2000.08，48V 210Ah</t>
  </si>
  <si>
    <t>提供NO.19之報單</t>
    <phoneticPr fontId="2" type="noConversion"/>
  </si>
  <si>
    <t>石動買來送隆錸實業</t>
    <phoneticPr fontId="2" type="noConversion"/>
  </si>
  <si>
    <t>111.11.08出貨</t>
    <phoneticPr fontId="2" type="noConversion"/>
  </si>
  <si>
    <t>富帝</t>
    <phoneticPr fontId="2" type="noConversion"/>
  </si>
  <si>
    <t>48V 320Ah，</t>
    <phoneticPr fontId="2" type="noConversion"/>
  </si>
  <si>
    <t>111.11.10</t>
  </si>
  <si>
    <t>111.11.11出貨</t>
    <phoneticPr fontId="2" type="noConversion"/>
  </si>
  <si>
    <t>2002.07，AC100V</t>
  </si>
  <si>
    <t>兆豐</t>
    <phoneticPr fontId="2" type="noConversion"/>
  </si>
  <si>
    <t>大阪</t>
    <phoneticPr fontId="2" type="noConversion"/>
  </si>
  <si>
    <t>111.05.24出貨</t>
  </si>
  <si>
    <t>RFTL15-B60--450  923AB0046</t>
  </si>
  <si>
    <t>111.03.18</t>
  </si>
  <si>
    <t>慶隆</t>
  </si>
  <si>
    <t>2000，三向</t>
  </si>
  <si>
    <t xml:space="preserve"> </t>
    <phoneticPr fontId="2" type="noConversion"/>
  </si>
  <si>
    <t>拆肉-蔡宗志</t>
    <phoneticPr fontId="2" type="noConversion"/>
  </si>
  <si>
    <t>立式電動</t>
    <phoneticPr fontId="2" type="noConversion"/>
  </si>
  <si>
    <t>FB09RC-12 93085</t>
    <phoneticPr fontId="2" type="noConversion"/>
  </si>
  <si>
    <t>111.12.26</t>
    <phoneticPr fontId="2" type="noConversion"/>
  </si>
  <si>
    <t>2006.09 電瓶好的</t>
    <phoneticPr fontId="2" type="noConversion"/>
  </si>
  <si>
    <t>聯昇揚</t>
  </si>
  <si>
    <t>101.12.11</t>
  </si>
  <si>
    <t>111.12.29出貨</t>
    <phoneticPr fontId="2" type="noConversion"/>
  </si>
  <si>
    <t>昆揚</t>
  </si>
  <si>
    <r>
      <rPr>
        <sz val="12"/>
        <color theme="1"/>
        <rFont val="新細明體"/>
        <family val="1"/>
        <charset val="136"/>
        <scheme val="minor"/>
      </rPr>
      <t>2004年.</t>
    </r>
    <r>
      <rPr>
        <b/>
        <sz val="12"/>
        <color theme="1"/>
        <rFont val="新細明體"/>
        <family val="1"/>
        <charset val="136"/>
        <scheme val="minor"/>
      </rPr>
      <t xml:space="preserve"> 改翻牙.揚高4米</t>
    </r>
    <phoneticPr fontId="2" type="noConversion"/>
  </si>
  <si>
    <t>4JG2FD25   引擊NO.J253306    製造NO.D21055</t>
    <phoneticPr fontId="2" type="noConversion"/>
  </si>
  <si>
    <t>員東回收</t>
    <phoneticPr fontId="2" type="noConversion"/>
  </si>
  <si>
    <t>7FBRK10-10766</t>
    <phoneticPr fontId="2" type="noConversion"/>
  </si>
  <si>
    <t>FBT15P-70-300-216AE0215</t>
  </si>
  <si>
    <t>辰光</t>
    <phoneticPr fontId="2" type="noConversion"/>
  </si>
  <si>
    <t>112.01.30出貨</t>
    <phoneticPr fontId="2" type="noConversion"/>
  </si>
  <si>
    <t>騰宏</t>
    <phoneticPr fontId="2" type="noConversion"/>
  </si>
  <si>
    <t>RFTL10-B65-922AC0239</t>
    <phoneticPr fontId="2" type="noConversion"/>
  </si>
  <si>
    <t>110.09.03</t>
  </si>
  <si>
    <t>112.02.09出貨</t>
    <phoneticPr fontId="2" type="noConversion"/>
  </si>
  <si>
    <t>2002.02，48V</t>
  </si>
  <si>
    <t>帝航</t>
    <phoneticPr fontId="2" type="noConversion"/>
  </si>
  <si>
    <t>NICHIYU</t>
  </si>
  <si>
    <t>FBRMW25-75-450M  141AE1552</t>
  </si>
  <si>
    <t>111.08.10</t>
  </si>
  <si>
    <t>112.02.15出貨</t>
    <phoneticPr fontId="2" type="noConversion"/>
  </si>
  <si>
    <t>達運</t>
  </si>
  <si>
    <t>捷行</t>
    <phoneticPr fontId="2" type="noConversion"/>
  </si>
  <si>
    <t>2006.牙改1500</t>
    <phoneticPr fontId="2" type="noConversion"/>
  </si>
  <si>
    <t>103.10.18</t>
  </si>
  <si>
    <t>萬利達</t>
    <phoneticPr fontId="2" type="noConversion"/>
  </si>
  <si>
    <t>112.03.01出貨</t>
    <phoneticPr fontId="2" type="noConversion"/>
  </si>
  <si>
    <t xml:space="preserve"> </t>
    <phoneticPr fontId="2" type="noConversion"/>
  </si>
  <si>
    <t>3/1報單.發票BOSS送</t>
    <phoneticPr fontId="2" type="noConversion"/>
  </si>
  <si>
    <t>112.03.07</t>
    <phoneticPr fontId="2" type="noConversion"/>
  </si>
  <si>
    <t>2003.02，48V  201Ah</t>
    <phoneticPr fontId="2" type="noConversion"/>
  </si>
  <si>
    <t>無報單</t>
    <phoneticPr fontId="2" type="noConversion"/>
  </si>
  <si>
    <t>7FBRK13-10353</t>
    <phoneticPr fontId="2" type="noConversion"/>
  </si>
  <si>
    <t>6FBR13-10112</t>
  </si>
  <si>
    <t>107.08.28</t>
  </si>
  <si>
    <t>48V,201AH-5HR,209AH-6HR</t>
  </si>
  <si>
    <t>112.03.08出貨</t>
    <phoneticPr fontId="2" type="noConversion"/>
  </si>
  <si>
    <t>億進豐</t>
    <phoneticPr fontId="2" type="noConversion"/>
  </si>
  <si>
    <t>暐忠</t>
    <phoneticPr fontId="2" type="noConversion"/>
  </si>
  <si>
    <t>提供NO.275之報單</t>
    <phoneticPr fontId="2" type="noConversion"/>
  </si>
  <si>
    <t>FBR25-75-300 141AE3629</t>
  </si>
  <si>
    <t>112.03.09出貨</t>
  </si>
  <si>
    <t>台灣巧維</t>
    <phoneticPr fontId="2" type="noConversion"/>
  </si>
  <si>
    <t>2011，附電瓶架</t>
    <phoneticPr fontId="2" type="noConversion"/>
  </si>
  <si>
    <t>高空作業車</t>
    <phoneticPr fontId="2" type="noConversion"/>
  </si>
  <si>
    <t>112.03.16</t>
    <phoneticPr fontId="2" type="noConversion"/>
  </si>
  <si>
    <t>AP-42-1-80101 ZA-3067</t>
    <phoneticPr fontId="2" type="noConversion"/>
  </si>
  <si>
    <t>報單</t>
    <phoneticPr fontId="2" type="noConversion"/>
  </si>
  <si>
    <t>FB10H15-72S00238</t>
  </si>
  <si>
    <t>105.06.20</t>
  </si>
  <si>
    <t>112.04.10出貨</t>
    <phoneticPr fontId="2" type="noConversion"/>
  </si>
  <si>
    <t>112.03.22</t>
  </si>
  <si>
    <t>1998.02，48V 280Ah</t>
  </si>
  <si>
    <t>蝦咪攏賀</t>
    <phoneticPr fontId="2" type="noConversion"/>
  </si>
  <si>
    <t>8FBH15-8FB18-13721</t>
  </si>
  <si>
    <t>110.02.20</t>
  </si>
  <si>
    <t>團昱</t>
    <phoneticPr fontId="2" type="noConversion"/>
  </si>
  <si>
    <t>110.04.06出車</t>
    <phoneticPr fontId="2" type="noConversion"/>
  </si>
  <si>
    <t>2017.11，48V</t>
  </si>
  <si>
    <t>立式電動</t>
    <phoneticPr fontId="2" type="noConversion"/>
  </si>
  <si>
    <t>NYK</t>
    <phoneticPr fontId="2" type="noConversion"/>
  </si>
  <si>
    <t>FB25HB-11 819885</t>
    <phoneticPr fontId="2" type="noConversion"/>
  </si>
  <si>
    <t>行政執行</t>
    <phoneticPr fontId="2" type="noConversion"/>
  </si>
  <si>
    <t>112.04.14</t>
    <phoneticPr fontId="2" type="noConversion"/>
  </si>
  <si>
    <t>2015.06，48V 201Ah</t>
    <phoneticPr fontId="2" type="noConversion"/>
  </si>
  <si>
    <t>欣佳興</t>
    <phoneticPr fontId="2" type="noConversion"/>
  </si>
  <si>
    <t>6FBR15-32576</t>
  </si>
  <si>
    <t>112.04.14</t>
  </si>
  <si>
    <t>1999.04，48V 280Ah</t>
  </si>
  <si>
    <t>112.04.17出貨</t>
    <phoneticPr fontId="2" type="noConversion"/>
  </si>
  <si>
    <t xml:space="preserve">FBRAW15-63-131AC4325  </t>
  </si>
  <si>
    <t>101.05.08</t>
  </si>
  <si>
    <t>三截貨櫃型</t>
  </si>
  <si>
    <t>昌祥肉品</t>
    <phoneticPr fontId="2" type="noConversion"/>
  </si>
  <si>
    <t>112.04.19出貨</t>
    <phoneticPr fontId="2" type="noConversion"/>
  </si>
  <si>
    <t>5FB15-10313</t>
  </si>
  <si>
    <t>48V 400Ah</t>
  </si>
  <si>
    <t>112.04.25出貨</t>
    <phoneticPr fontId="2" type="noConversion"/>
  </si>
  <si>
    <t>祥大</t>
    <phoneticPr fontId="2" type="noConversion"/>
  </si>
  <si>
    <t>大阪-昌祥估回</t>
    <phoneticPr fontId="2" type="noConversion"/>
  </si>
  <si>
    <t>48V  320Ah</t>
    <phoneticPr fontId="2" type="noConversion"/>
  </si>
  <si>
    <t>換電瓶及拱:48V 450Ah，三截+左右側移</t>
    <phoneticPr fontId="2" type="noConversion"/>
  </si>
  <si>
    <t>立倢</t>
  </si>
  <si>
    <t>61-FBR15STE R1G-14000</t>
  </si>
  <si>
    <t>7FB25-10867</t>
  </si>
  <si>
    <t>5FB25-12852 特殊YR11-FSVE6</t>
  </si>
  <si>
    <t>許瑞興</t>
    <phoneticPr fontId="2" type="noConversion"/>
  </si>
  <si>
    <t>112.05.16出貨</t>
    <phoneticPr fontId="2" type="noConversion"/>
  </si>
  <si>
    <t>FRB15-8 7B001456</t>
  </si>
  <si>
    <t>110.07.09</t>
  </si>
  <si>
    <t>2011.03，48V 280Ah</t>
  </si>
  <si>
    <t>104.10.26</t>
  </si>
  <si>
    <t>2008.08，48V 280AH</t>
  </si>
  <si>
    <t>112.05.16</t>
    <phoneticPr fontId="2" type="noConversion"/>
  </si>
  <si>
    <t>112.05.17出貨</t>
    <phoneticPr fontId="2" type="noConversion"/>
  </si>
  <si>
    <t>宏棨</t>
    <phoneticPr fontId="2" type="noConversion"/>
  </si>
  <si>
    <t>111.04.21出貨</t>
    <phoneticPr fontId="2" type="noConversion"/>
  </si>
  <si>
    <t>48V 400Ah 全新，2005</t>
    <phoneticPr fontId="2" type="noConversion"/>
  </si>
  <si>
    <t>許瑞興估回</t>
    <phoneticPr fontId="2" type="noConversion"/>
  </si>
  <si>
    <t>112.05.18</t>
    <phoneticPr fontId="2" type="noConversion"/>
  </si>
  <si>
    <t>座式電動</t>
    <phoneticPr fontId="2" type="noConversion"/>
  </si>
  <si>
    <t>SHINKO</t>
  </si>
  <si>
    <t>48V 620Ah</t>
    <phoneticPr fontId="2" type="noConversion"/>
  </si>
  <si>
    <t>6FBP25WZ-TF605S (169554)</t>
    <phoneticPr fontId="2" type="noConversion"/>
  </si>
  <si>
    <t>雙霖-合升</t>
    <phoneticPr fontId="2" type="noConversion"/>
  </si>
  <si>
    <t>鑫上弘估回</t>
    <phoneticPr fontId="2" type="noConversion"/>
  </si>
  <si>
    <t>6FBR15-31388</t>
    <phoneticPr fontId="2" type="noConversion"/>
  </si>
  <si>
    <t>泰泉</t>
  </si>
  <si>
    <t>昶德</t>
  </si>
  <si>
    <t>112.06.01出貨</t>
    <phoneticPr fontId="2" type="noConversion"/>
  </si>
  <si>
    <t>2005.09，48V 370Ah</t>
  </si>
  <si>
    <t>TOYOTA</t>
    <phoneticPr fontId="2" type="noConversion"/>
  </si>
  <si>
    <t>達運</t>
    <phoneticPr fontId="2" type="noConversion"/>
  </si>
  <si>
    <t>112.06.02</t>
    <phoneticPr fontId="2" type="noConversion"/>
  </si>
  <si>
    <t>2004.11，48V 280Ah</t>
    <phoneticPr fontId="2" type="noConversion"/>
  </si>
  <si>
    <t>立式電動</t>
    <phoneticPr fontId="2" type="noConversion"/>
  </si>
  <si>
    <t xml:space="preserve">6FBR18-33810   </t>
    <phoneticPr fontId="2" type="noConversion"/>
  </si>
  <si>
    <t>6FB18-21815，充電器*2</t>
    <phoneticPr fontId="2" type="noConversion"/>
  </si>
  <si>
    <t>7FBH15  7FB18-28518</t>
    <phoneticPr fontId="2" type="noConversion"/>
  </si>
  <si>
    <t>泰泉估回</t>
    <phoneticPr fontId="2" type="noConversion"/>
  </si>
  <si>
    <t>座式電動</t>
    <phoneticPr fontId="2" type="noConversion"/>
  </si>
  <si>
    <t>BT</t>
    <phoneticPr fontId="2" type="noConversion"/>
  </si>
  <si>
    <t>無報單</t>
    <phoneticPr fontId="2" type="noConversion"/>
  </si>
  <si>
    <t>BT15.側坐</t>
    <phoneticPr fontId="2" type="noConversion"/>
  </si>
  <si>
    <t>112.06.09</t>
    <phoneticPr fontId="2" type="noConversion"/>
  </si>
  <si>
    <t>7FBR15-12232</t>
  </si>
  <si>
    <t>112.06.01</t>
  </si>
  <si>
    <t>112.06.11出貨</t>
    <phoneticPr fontId="2" type="noConversion"/>
  </si>
  <si>
    <t>東北五金</t>
    <phoneticPr fontId="2" type="noConversion"/>
  </si>
  <si>
    <t>昶德估回</t>
    <phoneticPr fontId="2" type="noConversion"/>
  </si>
  <si>
    <t>2002.04，48V 280Ah.左右側移</t>
    <phoneticPr fontId="2" type="noConversion"/>
  </si>
  <si>
    <t>7FBR18-15050</t>
    <phoneticPr fontId="2" type="noConversion"/>
  </si>
  <si>
    <t>7FBR18-12090</t>
    <phoneticPr fontId="2" type="noConversion"/>
  </si>
  <si>
    <t>FBR25-75-300 141AE3629</t>
    <phoneticPr fontId="2" type="noConversion"/>
  </si>
  <si>
    <t>6FBM25Z-V300S 168082</t>
    <phoneticPr fontId="2" type="noConversion"/>
  </si>
  <si>
    <t>元逵</t>
    <phoneticPr fontId="2" type="noConversion"/>
  </si>
  <si>
    <t>112.06.20出貨</t>
    <phoneticPr fontId="2" type="noConversion"/>
  </si>
  <si>
    <t>辰光</t>
    <phoneticPr fontId="2" type="noConversion"/>
  </si>
  <si>
    <t>MITSUBISHI</t>
    <phoneticPr fontId="2" type="noConversion"/>
  </si>
  <si>
    <t>112.01.18出貨</t>
    <phoneticPr fontId="2" type="noConversion"/>
  </si>
  <si>
    <t>震穎</t>
    <phoneticPr fontId="2" type="noConversion"/>
  </si>
  <si>
    <t>TCM</t>
    <phoneticPr fontId="2" type="noConversion"/>
  </si>
  <si>
    <t>2004.08，48V 280Ah</t>
    <phoneticPr fontId="2" type="noConversion"/>
  </si>
  <si>
    <t>立式電動</t>
    <phoneticPr fontId="2" type="noConversion"/>
  </si>
  <si>
    <t>NYK</t>
    <phoneticPr fontId="2" type="noConversion"/>
  </si>
  <si>
    <t>112.06.30</t>
    <phoneticPr fontId="2" type="noConversion"/>
  </si>
  <si>
    <t>穩郝佳</t>
  </si>
  <si>
    <t>112.07.11出貨</t>
    <phoneticPr fontId="2" type="noConversion"/>
  </si>
  <si>
    <t>座式電動</t>
    <phoneticPr fontId="2" type="noConversion"/>
  </si>
  <si>
    <t>NYK</t>
    <phoneticPr fontId="2" type="noConversion"/>
  </si>
  <si>
    <t>112.07.14</t>
    <phoneticPr fontId="2" type="noConversion"/>
  </si>
  <si>
    <t>112.05.18</t>
  </si>
  <si>
    <t>2003.09，三向，48V 370Ah</t>
  </si>
  <si>
    <t>FBT15PN-65-600-216A00991</t>
    <phoneticPr fontId="2" type="noConversion"/>
  </si>
  <si>
    <t>48V 三截</t>
    <phoneticPr fontId="2" type="noConversion"/>
  </si>
  <si>
    <t>7FBRS15-51548</t>
  </si>
  <si>
    <t>112.06.30</t>
  </si>
  <si>
    <t>2014.10，48V 280Ah</t>
  </si>
  <si>
    <t>112.07.25出貨</t>
    <phoneticPr fontId="2" type="noConversion"/>
  </si>
  <si>
    <t>112.07.26</t>
    <phoneticPr fontId="2" type="noConversion"/>
  </si>
  <si>
    <t>7FBRS18-11040</t>
    <phoneticPr fontId="2" type="noConversion"/>
  </si>
  <si>
    <t>2005.11，48V 280Ah</t>
    <phoneticPr fontId="2" type="noConversion"/>
  </si>
  <si>
    <t>晶站</t>
    <phoneticPr fontId="2" type="noConversion"/>
  </si>
  <si>
    <t>未給</t>
    <phoneticPr fontId="2" type="noConversion"/>
  </si>
  <si>
    <t>鎧鈺</t>
    <phoneticPr fontId="2" type="noConversion"/>
  </si>
  <si>
    <t>106.04.24</t>
    <phoneticPr fontId="2" type="noConversion"/>
  </si>
  <si>
    <t>111.04.07出貨</t>
    <phoneticPr fontId="2" type="noConversion"/>
  </si>
  <si>
    <t>112.08.10出貨</t>
    <phoneticPr fontId="2" type="noConversion"/>
  </si>
  <si>
    <t>2008.01,自排,三截</t>
  </si>
  <si>
    <t>許瑞興</t>
  </si>
  <si>
    <t>106.02.08</t>
  </si>
  <si>
    <t>7FBH25-33860</t>
    <phoneticPr fontId="2" type="noConversion"/>
  </si>
  <si>
    <t>103.07.18</t>
  </si>
  <si>
    <t>有得</t>
    <phoneticPr fontId="2" type="noConversion"/>
  </si>
  <si>
    <t>座式電動</t>
    <phoneticPr fontId="2" type="noConversion"/>
  </si>
  <si>
    <t>FBT15P-70-300-216AE0215</t>
    <phoneticPr fontId="2" type="noConversion"/>
  </si>
  <si>
    <t>FB5P-50-250-211AC1038</t>
    <phoneticPr fontId="2" type="noConversion"/>
  </si>
  <si>
    <t>報單</t>
    <phoneticPr fontId="2" type="noConversion"/>
  </si>
  <si>
    <t>BT-2HBW15-10785</t>
  </si>
  <si>
    <t>蓋亞</t>
  </si>
  <si>
    <t>2017.11，24V</t>
  </si>
  <si>
    <t>112.08.17出貨</t>
    <phoneticPr fontId="2" type="noConversion"/>
  </si>
  <si>
    <t>榮楹</t>
    <phoneticPr fontId="2" type="noConversion"/>
  </si>
  <si>
    <t>潞運</t>
    <phoneticPr fontId="2" type="noConversion"/>
  </si>
  <si>
    <t xml:space="preserve">2005.01，48V </t>
    <phoneticPr fontId="2" type="noConversion"/>
  </si>
  <si>
    <t>112.08.22出貨</t>
    <phoneticPr fontId="2" type="noConversion"/>
  </si>
  <si>
    <t>112.06.20</t>
  </si>
  <si>
    <t>112.08.29出貨</t>
    <phoneticPr fontId="2" type="noConversion"/>
  </si>
  <si>
    <t>名流</t>
    <phoneticPr fontId="2" type="noConversion"/>
  </si>
  <si>
    <t>112.09.01-115.08.31</t>
    <phoneticPr fontId="2" type="noConversion"/>
  </si>
  <si>
    <t>報單貼紙</t>
    <phoneticPr fontId="2" type="noConversion"/>
  </si>
  <si>
    <t>報單</t>
    <phoneticPr fontId="2" type="noConversion"/>
  </si>
  <si>
    <t>未給</t>
    <phoneticPr fontId="2" type="noConversion"/>
  </si>
  <si>
    <t>震穎</t>
    <phoneticPr fontId="2" type="noConversion"/>
  </si>
  <si>
    <t>TOYOTA</t>
    <phoneticPr fontId="2" type="noConversion"/>
  </si>
  <si>
    <t>RFTL10-75-350-922AD0389</t>
    <phoneticPr fontId="2" type="noConversion"/>
  </si>
  <si>
    <t>兆微</t>
    <phoneticPr fontId="2" type="noConversion"/>
  </si>
  <si>
    <t>8FBRS13-10021</t>
  </si>
  <si>
    <t>112.10.16</t>
    <phoneticPr fontId="2" type="noConversion"/>
  </si>
  <si>
    <t>2018.03，48V 201Ah</t>
  </si>
  <si>
    <t>112.10.16出貨</t>
    <phoneticPr fontId="2" type="noConversion"/>
  </si>
  <si>
    <t>金尚品</t>
    <phoneticPr fontId="2" type="noConversion"/>
  </si>
  <si>
    <t>未給</t>
    <phoneticPr fontId="2" type="noConversion"/>
  </si>
  <si>
    <t>FR18-7 -8200732</t>
    <phoneticPr fontId="2" type="noConversion"/>
  </si>
  <si>
    <t>112.10.23</t>
  </si>
  <si>
    <t>2019.07,48V 220Ah</t>
    <phoneticPr fontId="2" type="noConversion"/>
  </si>
  <si>
    <t>雲林</t>
  </si>
  <si>
    <t>震穎</t>
    <phoneticPr fontId="2" type="noConversion"/>
  </si>
  <si>
    <t>立式電動</t>
    <phoneticPr fontId="2" type="noConversion"/>
  </si>
  <si>
    <t>112.11.17</t>
    <phoneticPr fontId="2" type="noConversion"/>
  </si>
  <si>
    <t>TCM</t>
    <phoneticPr fontId="2" type="noConversion"/>
  </si>
  <si>
    <t>台勵福</t>
  </si>
  <si>
    <t>FD25P-422101607</t>
  </si>
  <si>
    <t>112.10.27</t>
  </si>
  <si>
    <t>112.11.20出貨</t>
    <phoneticPr fontId="2" type="noConversion"/>
  </si>
  <si>
    <t>金億</t>
    <phoneticPr fontId="2" type="noConversion"/>
  </si>
  <si>
    <t>中美估回</t>
    <phoneticPr fontId="2" type="noConversion"/>
  </si>
  <si>
    <t>無報單</t>
    <phoneticPr fontId="2" type="noConversion"/>
  </si>
  <si>
    <t>進豐</t>
    <phoneticPr fontId="2" type="noConversion"/>
  </si>
  <si>
    <t>112.08.10</t>
  </si>
  <si>
    <t>許瑞興估回</t>
    <phoneticPr fontId="2" type="noConversion"/>
  </si>
  <si>
    <t>2006.09，48V 280Ah</t>
    <phoneticPr fontId="2" type="noConversion"/>
  </si>
  <si>
    <t>112.11.22</t>
    <phoneticPr fontId="2" type="noConversion"/>
  </si>
  <si>
    <t>112.11.22出貨</t>
    <phoneticPr fontId="2" type="noConversion"/>
  </si>
  <si>
    <t>品誠</t>
    <phoneticPr fontId="2" type="noConversion"/>
  </si>
  <si>
    <t>112.09.08</t>
  </si>
  <si>
    <t>2015.11,48V 280Ah</t>
    <phoneticPr fontId="2" type="noConversion"/>
  </si>
  <si>
    <t>7FBR15-61691 +外充機</t>
    <phoneticPr fontId="2" type="noConversion"/>
  </si>
  <si>
    <t>112.11.27出貨</t>
    <phoneticPr fontId="2" type="noConversion"/>
  </si>
  <si>
    <t>挖土機</t>
    <phoneticPr fontId="2" type="noConversion"/>
  </si>
  <si>
    <t>112.12.08</t>
    <phoneticPr fontId="2" type="noConversion"/>
  </si>
  <si>
    <t>HITACHI</t>
    <phoneticPr fontId="2" type="noConversion"/>
  </si>
  <si>
    <t>EX55UR 1BG-02318</t>
    <phoneticPr fontId="2" type="noConversion"/>
  </si>
  <si>
    <t>出力40PS，容量0.22m立方，輸送重5.4T</t>
    <phoneticPr fontId="2" type="noConversion"/>
  </si>
  <si>
    <t>112.12.11出貨</t>
    <phoneticPr fontId="2" type="noConversion"/>
  </si>
  <si>
    <t>均安順</t>
    <phoneticPr fontId="2" type="noConversion"/>
  </si>
  <si>
    <t>奇易-有得</t>
  </si>
  <si>
    <t>鴻聖</t>
    <phoneticPr fontId="2" type="noConversion"/>
  </si>
  <si>
    <t>鴻聖</t>
    <phoneticPr fontId="2" type="noConversion"/>
  </si>
  <si>
    <t>震穎</t>
    <phoneticPr fontId="2" type="noConversion"/>
  </si>
  <si>
    <t>座式電動</t>
    <phoneticPr fontId="2" type="noConversion"/>
  </si>
  <si>
    <t>TOYOTA</t>
    <phoneticPr fontId="2" type="noConversion"/>
  </si>
  <si>
    <t>112.12.15</t>
    <phoneticPr fontId="2" type="noConversion"/>
  </si>
  <si>
    <t>48V 390Ah</t>
    <phoneticPr fontId="2" type="noConversion"/>
  </si>
  <si>
    <t>5FBE15-12348</t>
    <phoneticPr fontId="2" type="noConversion"/>
  </si>
  <si>
    <t>FBR15-7-82M01861</t>
    <phoneticPr fontId="2" type="noConversion"/>
  </si>
  <si>
    <t>7FBR18-50713</t>
  </si>
  <si>
    <t>112.11.17</t>
  </si>
  <si>
    <t>112.12.19出貨</t>
    <phoneticPr fontId="2" type="noConversion"/>
  </si>
  <si>
    <t>2013.06，48V 280Ah，牙1米7</t>
    <phoneticPr fontId="2" type="noConversion"/>
  </si>
  <si>
    <t>未給</t>
    <phoneticPr fontId="2" type="noConversion"/>
  </si>
  <si>
    <t>萬利達</t>
    <phoneticPr fontId="2" type="noConversion"/>
  </si>
  <si>
    <t>SUMITOMO/住友</t>
    <phoneticPr fontId="2" type="noConversion"/>
  </si>
  <si>
    <t>立式電動</t>
    <phoneticPr fontId="2" type="noConversion"/>
  </si>
  <si>
    <t>TOYOTA</t>
    <phoneticPr fontId="2" type="noConversion"/>
  </si>
  <si>
    <t>6FBR13-30577</t>
    <phoneticPr fontId="2" type="noConversion"/>
  </si>
  <si>
    <t>7FBR15-53315</t>
    <phoneticPr fontId="2" type="noConversion"/>
  </si>
  <si>
    <t>112.12.29</t>
    <phoneticPr fontId="2" type="noConversion"/>
  </si>
  <si>
    <t>7FBR18-53409</t>
  </si>
  <si>
    <t>112.11.22</t>
  </si>
  <si>
    <t>2016.03，48V 370Ah</t>
  </si>
  <si>
    <t>113.01.05出貨</t>
    <phoneticPr fontId="2" type="noConversion"/>
  </si>
  <si>
    <t>益彰</t>
    <phoneticPr fontId="2" type="noConversion"/>
  </si>
  <si>
    <t>1998.12，48V 201Ah</t>
    <phoneticPr fontId="2" type="noConversion"/>
  </si>
  <si>
    <t>2013.08，48V</t>
    <phoneticPr fontId="2" type="noConversion"/>
  </si>
  <si>
    <t>7FBRK13-50618</t>
  </si>
  <si>
    <t>2015.02，48V 201Ah</t>
  </si>
  <si>
    <t>113.01.06出貨</t>
  </si>
  <si>
    <t>家樂微創</t>
    <phoneticPr fontId="2" type="noConversion"/>
  </si>
  <si>
    <t>8FBRK13-10537</t>
    <phoneticPr fontId="2" type="noConversion"/>
  </si>
  <si>
    <t>座式電動</t>
    <phoneticPr fontId="2" type="noConversion"/>
  </si>
  <si>
    <t>113.01.17</t>
    <phoneticPr fontId="2" type="noConversion"/>
  </si>
  <si>
    <t>7FB18-45980</t>
    <phoneticPr fontId="2" type="noConversion"/>
  </si>
  <si>
    <t>柏菖</t>
    <phoneticPr fontId="2" type="noConversion"/>
  </si>
  <si>
    <t>自走式</t>
    <phoneticPr fontId="2" type="noConversion"/>
  </si>
  <si>
    <t>恆智NOVELTEK</t>
    <phoneticPr fontId="2" type="noConversion"/>
  </si>
  <si>
    <t>CWS-10</t>
    <phoneticPr fontId="2" type="noConversion"/>
  </si>
  <si>
    <t>24V</t>
    <phoneticPr fontId="2" type="noConversion"/>
  </si>
  <si>
    <t>113.01.27</t>
    <phoneticPr fontId="2" type="noConversion"/>
  </si>
  <si>
    <t>無報單</t>
    <phoneticPr fontId="2" type="noConversion"/>
  </si>
  <si>
    <t>113.02.02出貨</t>
    <phoneticPr fontId="2" type="noConversion"/>
  </si>
  <si>
    <t>自走式</t>
  </si>
  <si>
    <t>BT</t>
  </si>
  <si>
    <t>271471AA 無電瓶</t>
  </si>
  <si>
    <t>111.02.23</t>
  </si>
  <si>
    <t>辰光</t>
    <phoneticPr fontId="2" type="noConversion"/>
  </si>
  <si>
    <t>24V，1995</t>
  </si>
  <si>
    <t>劦豐旺</t>
  </si>
  <si>
    <t>昱嘉</t>
    <phoneticPr fontId="2" type="noConversion"/>
  </si>
  <si>
    <t>112.10.14</t>
  </si>
  <si>
    <t>113.02.20出貨</t>
    <phoneticPr fontId="2" type="noConversion"/>
  </si>
  <si>
    <t>2018.08，48V 280Ah</t>
  </si>
  <si>
    <t>雅速達</t>
    <phoneticPr fontId="2" type="noConversion"/>
  </si>
  <si>
    <t>8FBR15-12943，外充機</t>
    <phoneticPr fontId="2" type="noConversion"/>
  </si>
  <si>
    <t>7FBR15-70654</t>
  </si>
  <si>
    <t>112.09.23</t>
  </si>
  <si>
    <t>2017.11，48V 312Ah</t>
  </si>
  <si>
    <t>113.02.24出貨</t>
    <phoneticPr fontId="2" type="noConversion"/>
  </si>
  <si>
    <t>大宇宙</t>
    <phoneticPr fontId="2" type="noConversion"/>
  </si>
  <si>
    <t xml:space="preserve">左右側移/2000.03/48V 565AH       </t>
    <phoneticPr fontId="2" type="noConversion"/>
  </si>
  <si>
    <t>震穎</t>
    <phoneticPr fontId="2" type="noConversion"/>
  </si>
  <si>
    <t>立式電動</t>
    <phoneticPr fontId="2" type="noConversion"/>
  </si>
  <si>
    <t>TOYOTA</t>
    <phoneticPr fontId="2" type="noConversion"/>
  </si>
  <si>
    <t>7FBR15-31131</t>
    <phoneticPr fontId="2" type="noConversion"/>
  </si>
  <si>
    <t>113.03.4</t>
    <phoneticPr fontId="2" type="noConversion"/>
  </si>
  <si>
    <t>2009.11，48V 280Ah</t>
    <phoneticPr fontId="2" type="noConversion"/>
  </si>
  <si>
    <t>SV04B-709929</t>
    <phoneticPr fontId="2" type="noConversion"/>
  </si>
  <si>
    <t>無報單</t>
    <phoneticPr fontId="2" type="noConversion"/>
  </si>
  <si>
    <t>40-7FB25-11207</t>
    <phoneticPr fontId="2" type="noConversion"/>
  </si>
  <si>
    <t>113.03.18出貨</t>
    <phoneticPr fontId="2" type="noConversion"/>
  </si>
  <si>
    <t>FR10-7-82F00421</t>
  </si>
  <si>
    <t>112.05.02</t>
  </si>
  <si>
    <t>驪展</t>
  </si>
  <si>
    <t>2006.02，48V 201Ah</t>
  </si>
  <si>
    <t>未給</t>
    <phoneticPr fontId="2" type="noConversion"/>
  </si>
  <si>
    <t>FG20-11-456859</t>
  </si>
  <si>
    <t>113.3.15</t>
  </si>
  <si>
    <t>佳昇</t>
  </si>
  <si>
    <t>113.03.19出貨</t>
  </si>
  <si>
    <t>7FBR15-20110</t>
    <phoneticPr fontId="2" type="noConversion"/>
  </si>
  <si>
    <r>
      <t xml:space="preserve">7FBR15-17506 </t>
    </r>
    <r>
      <rPr>
        <sz val="12"/>
        <color rgb="FFFF0000"/>
        <rFont val="新細明體"/>
        <family val="1"/>
        <charset val="136"/>
        <scheme val="minor"/>
      </rPr>
      <t>牌已給大宇宙</t>
    </r>
    <phoneticPr fontId="2" type="noConversion"/>
  </si>
  <si>
    <t>2017.10，48V 370Ah</t>
    <phoneticPr fontId="2" type="noConversion"/>
  </si>
  <si>
    <t>7FBRK9-50072</t>
  </si>
  <si>
    <t>112.08.08</t>
  </si>
  <si>
    <t>113.04.01出貨</t>
    <phoneticPr fontId="2" type="noConversion"/>
  </si>
  <si>
    <t>2012.09，48V 165Ah</t>
  </si>
  <si>
    <t>欣格</t>
  </si>
  <si>
    <t>群翌</t>
    <phoneticPr fontId="2" type="noConversion"/>
  </si>
  <si>
    <t>FB14RL-15-158022</t>
  </si>
  <si>
    <t>2018.04，48V 370Ah</t>
  </si>
  <si>
    <t>113.04.15出貨</t>
    <phoneticPr fontId="2" type="noConversion"/>
  </si>
  <si>
    <t>青言</t>
    <phoneticPr fontId="2" type="noConversion"/>
  </si>
  <si>
    <t>7FBR15-53631</t>
  </si>
  <si>
    <t>2013.09，48V 312Ah</t>
  </si>
  <si>
    <t>美新</t>
    <phoneticPr fontId="2" type="noConversion"/>
  </si>
  <si>
    <t>112.12.29</t>
  </si>
  <si>
    <t>48V 320Ah</t>
  </si>
  <si>
    <t>6FB18-20138</t>
  </si>
  <si>
    <t>113.04.16出貨</t>
  </si>
  <si>
    <t>1998.02，48V 400Ah</t>
  </si>
  <si>
    <t>金瑞鋒</t>
    <phoneticPr fontId="2" type="noConversion"/>
  </si>
  <si>
    <t>TOYOTA</t>
    <phoneticPr fontId="2" type="noConversion"/>
  </si>
  <si>
    <t>座式柴油</t>
    <phoneticPr fontId="2" type="noConversion"/>
  </si>
  <si>
    <t>7FD10  7FD18-22044</t>
    <phoneticPr fontId="2" type="noConversion"/>
  </si>
  <si>
    <t>RFTP10C-F65-750MSZ 927AC0018</t>
    <phoneticPr fontId="2" type="noConversion"/>
  </si>
  <si>
    <t>7FBR13-51254</t>
    <phoneticPr fontId="2" type="noConversion"/>
  </si>
  <si>
    <t>113.04.23</t>
    <phoneticPr fontId="2" type="noConversion"/>
  </si>
  <si>
    <t>7FBRS13-50301</t>
    <phoneticPr fontId="2" type="noConversion"/>
  </si>
  <si>
    <t>2016.06，48V 240Ah</t>
    <phoneticPr fontId="2" type="noConversion"/>
  </si>
  <si>
    <t>7FBH25-36875</t>
    <phoneticPr fontId="2" type="noConversion"/>
  </si>
  <si>
    <t>113.05.02出貨</t>
    <phoneticPr fontId="2" type="noConversion"/>
  </si>
  <si>
    <t>8FBR18-17144</t>
  </si>
  <si>
    <t>113.03.25</t>
  </si>
  <si>
    <t>慶隆</t>
    <phoneticPr fontId="2" type="noConversion"/>
  </si>
  <si>
    <t>2023.01，48V 280Ah</t>
  </si>
  <si>
    <t>慶隆估回</t>
    <phoneticPr fontId="2" type="noConversion"/>
  </si>
  <si>
    <t>NYK</t>
    <phoneticPr fontId="2" type="noConversion"/>
  </si>
  <si>
    <t>113.05.02</t>
    <phoneticPr fontId="2" type="noConversion"/>
  </si>
  <si>
    <t>FBRAW13-60B-550M-121AB4425</t>
    <phoneticPr fontId="2" type="noConversion"/>
  </si>
  <si>
    <t>24V 470Ah</t>
    <phoneticPr fontId="2" type="noConversion"/>
  </si>
  <si>
    <t>A805FDL18-60307</t>
  </si>
  <si>
    <t>113.04.10</t>
  </si>
  <si>
    <t>113.05.06出貨</t>
    <phoneticPr fontId="2" type="noConversion"/>
  </si>
  <si>
    <t>寬曆</t>
    <phoneticPr fontId="2" type="noConversion"/>
  </si>
  <si>
    <t>6FBR25-10080</t>
    <phoneticPr fontId="2" type="noConversion"/>
  </si>
  <si>
    <t>2019.02，48V 201Ah</t>
    <phoneticPr fontId="2" type="noConversion"/>
  </si>
  <si>
    <t>7FBR13-10386</t>
    <phoneticPr fontId="2" type="noConversion"/>
  </si>
  <si>
    <t>7FBR18-11848</t>
    <phoneticPr fontId="2" type="noConversion"/>
  </si>
  <si>
    <t>2005.03、48V 280Ah</t>
    <phoneticPr fontId="2" type="noConversion"/>
  </si>
  <si>
    <t>113.05.13</t>
    <phoneticPr fontId="2" type="noConversion"/>
  </si>
  <si>
    <t>6FBR15-32207</t>
  </si>
  <si>
    <t>112.07.14</t>
  </si>
  <si>
    <t>1998.11，48V 280Ah</t>
  </si>
  <si>
    <t>蝦咪攏賀</t>
    <phoneticPr fontId="2" type="noConversion"/>
  </si>
  <si>
    <t>113.05.17出貨</t>
    <phoneticPr fontId="2" type="noConversion"/>
  </si>
  <si>
    <t>座式柴油</t>
    <phoneticPr fontId="2" type="noConversion"/>
  </si>
  <si>
    <t>FD30-11-330287</t>
    <phoneticPr fontId="2" type="noConversion"/>
  </si>
  <si>
    <t>立式電動</t>
    <phoneticPr fontId="2" type="noConversion"/>
  </si>
  <si>
    <t>TOYOTA</t>
    <phoneticPr fontId="2" type="noConversion"/>
  </si>
  <si>
    <t>113.05.22</t>
    <phoneticPr fontId="2" type="noConversion"/>
  </si>
  <si>
    <t>陞翰</t>
    <phoneticPr fontId="2" type="noConversion"/>
  </si>
  <si>
    <t>華田</t>
    <phoneticPr fontId="2" type="noConversion"/>
  </si>
  <si>
    <t>113.05.29出貨</t>
    <phoneticPr fontId="2" type="noConversion"/>
  </si>
  <si>
    <t>7FBRK9-10068</t>
  </si>
  <si>
    <t>2017.03，48V 390Ah</t>
    <phoneticPr fontId="2" type="noConversion"/>
  </si>
  <si>
    <t>台鑫</t>
    <phoneticPr fontId="2" type="noConversion"/>
  </si>
  <si>
    <t>AICHI</t>
  </si>
  <si>
    <t>113.03.4</t>
  </si>
  <si>
    <t>113.05.31出貨</t>
    <phoneticPr fontId="2" type="noConversion"/>
  </si>
  <si>
    <t>寬山</t>
    <phoneticPr fontId="2" type="noConversion"/>
  </si>
  <si>
    <t>7FBR15-66137</t>
  </si>
  <si>
    <t>113.05.13</t>
  </si>
  <si>
    <t>113.06.06出貨</t>
    <phoneticPr fontId="2" type="noConversion"/>
  </si>
  <si>
    <t>2016.11,48V 312Ah</t>
  </si>
  <si>
    <t>報單</t>
    <phoneticPr fontId="2" type="noConversion"/>
  </si>
  <si>
    <t>未給</t>
    <phoneticPr fontId="2" type="noConversion"/>
  </si>
  <si>
    <t>未給</t>
    <phoneticPr fontId="2" type="noConversion"/>
  </si>
  <si>
    <t xml:space="preserve">                                                                                        </t>
    <phoneticPr fontId="2" type="noConversion"/>
  </si>
  <si>
    <t>FBRA25-63-400WBSF-141AC0415</t>
    <phoneticPr fontId="2" type="noConversion"/>
  </si>
  <si>
    <t>2001，48V 320Ah 側拉</t>
    <phoneticPr fontId="2" type="noConversion"/>
  </si>
  <si>
    <t>7FBRS20-13053</t>
    <phoneticPr fontId="2" type="noConversion"/>
  </si>
  <si>
    <t>113.05.31</t>
  </si>
  <si>
    <t>113.06.20出貨</t>
    <phoneticPr fontId="2" type="noConversion"/>
  </si>
  <si>
    <t>無報單</t>
    <phoneticPr fontId="2" type="noConversion"/>
  </si>
  <si>
    <t>川昇</t>
  </si>
  <si>
    <t>7FBR15-51981</t>
  </si>
  <si>
    <t>2013.03，48V 280Ah</t>
  </si>
  <si>
    <t>拖特</t>
    <phoneticPr fontId="2" type="noConversion"/>
  </si>
  <si>
    <t>113.06.24出貨</t>
    <phoneticPr fontId="2" type="noConversion"/>
  </si>
  <si>
    <t>7FBR14-50286</t>
    <phoneticPr fontId="2" type="noConversion"/>
  </si>
  <si>
    <t>順陽估回</t>
    <phoneticPr fontId="2" type="noConversion"/>
  </si>
  <si>
    <t>立式電動</t>
    <phoneticPr fontId="2" type="noConversion"/>
  </si>
  <si>
    <t>TOYOTA</t>
    <phoneticPr fontId="2" type="noConversion"/>
  </si>
  <si>
    <t>7FBRS15-10803</t>
    <phoneticPr fontId="2" type="noConversion"/>
  </si>
  <si>
    <t>110.06.23</t>
    <phoneticPr fontId="2" type="noConversion"/>
  </si>
  <si>
    <t>換車抵貨款</t>
    <phoneticPr fontId="2" type="noConversion"/>
  </si>
  <si>
    <t>原編號167  2002.08/48V</t>
    <phoneticPr fontId="2" type="noConversion"/>
  </si>
  <si>
    <t>113.05.22</t>
    <phoneticPr fontId="2" type="noConversion"/>
  </si>
  <si>
    <t>成龍</t>
    <phoneticPr fontId="2" type="noConversion"/>
  </si>
  <si>
    <t>2014.01，48V 210Ah</t>
    <phoneticPr fontId="2" type="noConversion"/>
  </si>
  <si>
    <t>進鑫</t>
    <phoneticPr fontId="2" type="noConversion"/>
  </si>
  <si>
    <t>6FBR15-12329</t>
    <phoneticPr fontId="2" type="noConversion"/>
  </si>
  <si>
    <t>107.11.02</t>
    <phoneticPr fontId="2" type="noConversion"/>
  </si>
  <si>
    <t>成龍</t>
    <phoneticPr fontId="2" type="noConversion"/>
  </si>
  <si>
    <t>1991，280AH，三截貨櫃</t>
    <phoneticPr fontId="2" type="noConversion"/>
  </si>
  <si>
    <t>報單</t>
    <phoneticPr fontId="2" type="noConversion"/>
  </si>
  <si>
    <t>6FBRS15-30908換牌6FBRS13-30090</t>
    <phoneticPr fontId="2" type="noConversion"/>
  </si>
  <si>
    <t>大阪</t>
    <phoneticPr fontId="2" type="noConversion"/>
  </si>
  <si>
    <t>102.10.12</t>
    <phoneticPr fontId="2" type="noConversion"/>
  </si>
  <si>
    <t>三截貨櫃、左右側移、1999/08</t>
    <phoneticPr fontId="2" type="noConversion"/>
  </si>
  <si>
    <t>113.06.12</t>
    <phoneticPr fontId="2" type="noConversion"/>
  </si>
  <si>
    <t>113.06.25</t>
    <phoneticPr fontId="2" type="noConversion"/>
  </si>
  <si>
    <t>翻土車</t>
    <phoneticPr fontId="2" type="noConversion"/>
  </si>
  <si>
    <t>6/26寄</t>
    <phoneticPr fontId="2" type="noConversion"/>
  </si>
  <si>
    <t>KUBOTA</t>
    <phoneticPr fontId="2" type="noConversion"/>
  </si>
  <si>
    <t>長1317*寬1481mm、耕幅131*耕深12cm</t>
    <phoneticPr fontId="2" type="noConversion"/>
  </si>
  <si>
    <t>RSP131-14402</t>
    <phoneticPr fontId="2" type="noConversion"/>
  </si>
  <si>
    <t>113.07.01</t>
    <phoneticPr fontId="2" type="noConversion"/>
  </si>
  <si>
    <t>7FBR18-55271 外充機</t>
    <phoneticPr fontId="2" type="noConversion"/>
  </si>
  <si>
    <t>2017.11，48V 370Ah 側拉</t>
    <phoneticPr fontId="2" type="noConversion"/>
  </si>
  <si>
    <t>113.07.08出貨</t>
    <phoneticPr fontId="2" type="noConversion"/>
  </si>
  <si>
    <t>弘碁</t>
    <phoneticPr fontId="2" type="noConversion"/>
  </si>
  <si>
    <t>FD20T-16-750257</t>
    <phoneticPr fontId="2" type="noConversion"/>
  </si>
  <si>
    <t>KOMATSU</t>
    <phoneticPr fontId="2" type="noConversion"/>
  </si>
  <si>
    <t>2012.09，48V 280Ah</t>
    <phoneticPr fontId="2" type="noConversion"/>
  </si>
  <si>
    <t>2020.02，48V 201Ah</t>
    <phoneticPr fontId="2" type="noConversion"/>
  </si>
  <si>
    <t>寶暉</t>
  </si>
  <si>
    <t>6FBR20-10124</t>
  </si>
  <si>
    <t>113.07.22</t>
    <phoneticPr fontId="2" type="noConversion"/>
  </si>
  <si>
    <t>SUMITOMO/住友</t>
    <phoneticPr fontId="2" type="noConversion"/>
  </si>
  <si>
    <t>8FBR15T-RIG-13458</t>
    <phoneticPr fontId="2" type="noConversion"/>
  </si>
  <si>
    <t>2008.05，48V 340Ah</t>
    <phoneticPr fontId="2" type="noConversion"/>
  </si>
  <si>
    <t>113.07.23出貨</t>
    <phoneticPr fontId="2" type="noConversion"/>
  </si>
  <si>
    <t>甲楚</t>
    <phoneticPr fontId="2" type="noConversion"/>
  </si>
  <si>
    <t>7FB15  7FB18-29268</t>
    <phoneticPr fontId="2" type="noConversion"/>
  </si>
  <si>
    <t>2005.05，48V，外充機</t>
    <phoneticPr fontId="2" type="noConversion"/>
  </si>
  <si>
    <t>7FBR13-50721</t>
    <phoneticPr fontId="2" type="noConversion"/>
  </si>
  <si>
    <t>2014.02，48V 201Ah</t>
    <phoneticPr fontId="2" type="noConversion"/>
  </si>
  <si>
    <t>113.07.30</t>
    <phoneticPr fontId="2" type="noConversion"/>
  </si>
  <si>
    <t>113.07.31</t>
  </si>
  <si>
    <t>61FBR15SXII RIH-06572</t>
  </si>
  <si>
    <t>112.06.02</t>
  </si>
  <si>
    <t>2014.11，48V 280Ah</t>
  </si>
  <si>
    <t>2017.06，48V</t>
    <phoneticPr fontId="2" type="noConversion"/>
  </si>
  <si>
    <t>113.08.15出貨</t>
    <phoneticPr fontId="2" type="noConversion"/>
  </si>
  <si>
    <t>2007.06，台面最低1120mm</t>
    <phoneticPr fontId="2" type="noConversion"/>
  </si>
  <si>
    <t>2007.04，台面最低1120mm</t>
    <phoneticPr fontId="2" type="noConversion"/>
  </si>
  <si>
    <t>牧玥</t>
    <phoneticPr fontId="2" type="noConversion"/>
  </si>
  <si>
    <t>8FBR13-11048</t>
  </si>
  <si>
    <t>113.07.10</t>
  </si>
  <si>
    <t>113.09.11出貨</t>
    <phoneticPr fontId="2" type="noConversion"/>
  </si>
  <si>
    <t>座式電動</t>
    <phoneticPr fontId="2" type="noConversion"/>
  </si>
  <si>
    <t>7FBR15-22216</t>
  </si>
  <si>
    <t>2001.11，48V 400Ah</t>
    <phoneticPr fontId="2" type="noConversion"/>
  </si>
  <si>
    <t>7FBR13-51246</t>
    <phoneticPr fontId="2" type="noConversion"/>
  </si>
  <si>
    <t>2015.05，48V 240Ah</t>
    <phoneticPr fontId="2" type="noConversion"/>
  </si>
  <si>
    <t>3FB9-10157</t>
  </si>
  <si>
    <t>1997.08，48V  216AH</t>
  </si>
  <si>
    <t>113.09.13出貨</t>
    <phoneticPr fontId="2" type="noConversion"/>
  </si>
  <si>
    <t>奇異</t>
    <phoneticPr fontId="2" type="noConversion"/>
  </si>
  <si>
    <t>活力牌</t>
    <phoneticPr fontId="2" type="noConversion"/>
  </si>
  <si>
    <t>奇異換車</t>
    <phoneticPr fontId="2" type="noConversion"/>
  </si>
  <si>
    <t>7FBR15-50349</t>
  </si>
  <si>
    <t>裕純欣</t>
    <phoneticPr fontId="2" type="noConversion"/>
  </si>
  <si>
    <t>113.09.18出貨</t>
    <phoneticPr fontId="2" type="noConversion"/>
  </si>
  <si>
    <t>安致
哈佛人</t>
    <phoneticPr fontId="2" type="noConversion"/>
  </si>
  <si>
    <t>SV08B-707805</t>
  </si>
  <si>
    <t>昌旺</t>
    <phoneticPr fontId="2" type="noConversion"/>
  </si>
  <si>
    <t>113.09.25出貨</t>
    <phoneticPr fontId="2" type="noConversion"/>
  </si>
  <si>
    <t>113.09.18</t>
    <phoneticPr fontId="2" type="noConversion"/>
  </si>
  <si>
    <t>遊艇</t>
    <phoneticPr fontId="2" type="noConversion"/>
  </si>
  <si>
    <t>113.09.27</t>
    <phoneticPr fontId="2" type="noConversion"/>
  </si>
  <si>
    <t>113.09.30出貨</t>
    <phoneticPr fontId="2" type="noConversion"/>
  </si>
  <si>
    <t>7FBR15-68601</t>
  </si>
  <si>
    <t>113.08.22</t>
  </si>
  <si>
    <t>璟程</t>
    <phoneticPr fontId="2" type="noConversion"/>
  </si>
  <si>
    <t>113.10.09出貨</t>
    <phoneticPr fontId="2" type="noConversion"/>
  </si>
  <si>
    <t>上發</t>
    <phoneticPr fontId="2" type="noConversion"/>
  </si>
  <si>
    <t>銀齡</t>
    <phoneticPr fontId="2" type="noConversion"/>
  </si>
  <si>
    <t>113.10.17出貨</t>
    <phoneticPr fontId="2" type="noConversion"/>
  </si>
  <si>
    <t>7FBRK13-10353</t>
  </si>
  <si>
    <t>112.03.07</t>
  </si>
  <si>
    <t>2003.02，48V  201Ah</t>
  </si>
  <si>
    <t>震穎</t>
    <phoneticPr fontId="2" type="noConversion"/>
  </si>
  <si>
    <t>高空作業車</t>
    <phoneticPr fontId="2" type="noConversion"/>
  </si>
  <si>
    <t>4.2MEX-KS A-2450</t>
    <phoneticPr fontId="2" type="noConversion"/>
  </si>
  <si>
    <t>7FBR15-57571</t>
  </si>
  <si>
    <t>113.10.29出貨</t>
    <phoneticPr fontId="2" type="noConversion"/>
  </si>
  <si>
    <t>大有-樂取</t>
    <phoneticPr fontId="2" type="noConversion"/>
  </si>
  <si>
    <t>113.10.29</t>
    <phoneticPr fontId="2" type="noConversion"/>
  </si>
  <si>
    <t>113.11.04出貨</t>
    <phoneticPr fontId="2" type="noConversion"/>
  </si>
  <si>
    <t>7FBR15-51340</t>
  </si>
  <si>
    <t>2012.12，48V 280Ah</t>
  </si>
  <si>
    <t>億晶</t>
  </si>
  <si>
    <t>報單</t>
    <phoneticPr fontId="2" type="noConversion"/>
  </si>
  <si>
    <t>報單貼紙</t>
    <phoneticPr fontId="2" type="noConversion"/>
  </si>
  <si>
    <t>7FBRS14-50139</t>
  </si>
  <si>
    <t>113.07.30</t>
  </si>
  <si>
    <t>2015.10，48V 370Ah</t>
  </si>
  <si>
    <t>113.11.13出貨</t>
    <phoneticPr fontId="2" type="noConversion"/>
  </si>
  <si>
    <t>取回</t>
    <phoneticPr fontId="2" type="noConversion"/>
  </si>
  <si>
    <t>和之合</t>
    <phoneticPr fontId="2" type="noConversion"/>
  </si>
  <si>
    <t>7FBR15-66610</t>
  </si>
  <si>
    <t>113.11.28出貨</t>
    <phoneticPr fontId="2" type="noConversion"/>
  </si>
  <si>
    <t>2017.01，48V</t>
  </si>
  <si>
    <t>銀齡</t>
  </si>
  <si>
    <t>7FBR15-70246 +外充機</t>
  </si>
  <si>
    <t>113.03.28</t>
  </si>
  <si>
    <t>113.12.07出貨</t>
    <phoneticPr fontId="2" type="noConversion"/>
  </si>
  <si>
    <t>2006.07，48V 312Ah，左右側移</t>
    <phoneticPr fontId="2" type="noConversion"/>
  </si>
  <si>
    <t>運杰</t>
    <phoneticPr fontId="2" type="noConversion"/>
  </si>
  <si>
    <t>113.12.10</t>
    <phoneticPr fontId="2" type="noConversion"/>
  </si>
  <si>
    <t>7FBR13-13914</t>
    <phoneticPr fontId="2" type="noConversion"/>
  </si>
  <si>
    <t>2011.02，48V 225Ah</t>
    <phoneticPr fontId="2" type="noConversion"/>
  </si>
  <si>
    <t>7FBR13-14098</t>
    <phoneticPr fontId="2" type="noConversion"/>
  </si>
  <si>
    <t>2011.09，48V 225Ah</t>
    <phoneticPr fontId="2" type="noConversion"/>
  </si>
  <si>
    <t>BT</t>
    <phoneticPr fontId="2" type="noConversion"/>
  </si>
  <si>
    <t>113.12.11</t>
  </si>
  <si>
    <t>電動拖板車</t>
    <phoneticPr fontId="2" type="noConversion"/>
  </si>
  <si>
    <t>BT-2HBW15-11130，充電機</t>
    <phoneticPr fontId="2" type="noConversion"/>
  </si>
  <si>
    <t>BT-2HBW15-10829，充電機</t>
    <phoneticPr fontId="2" type="noConversion"/>
  </si>
  <si>
    <t>113.12.21出貨</t>
    <phoneticPr fontId="2" type="noConversion"/>
  </si>
  <si>
    <t>2011.09，48V 225Ah</t>
  </si>
  <si>
    <t>高林</t>
    <phoneticPr fontId="2" type="noConversion"/>
  </si>
  <si>
    <t>柒捌貳貳</t>
    <phoneticPr fontId="2" type="noConversion"/>
  </si>
  <si>
    <t>5FBE18-28381</t>
  </si>
  <si>
    <t>112.10.04</t>
  </si>
  <si>
    <t>1999.08，48V 390Ah</t>
  </si>
  <si>
    <t>113.12.31出貨</t>
    <phoneticPr fontId="2" type="noConversion"/>
  </si>
  <si>
    <t>114.01.07</t>
    <phoneticPr fontId="2" type="noConversion"/>
  </si>
  <si>
    <t>8FBR15-17663</t>
  </si>
  <si>
    <t>113.11.08</t>
  </si>
  <si>
    <t>2019.07，48V 280Ah</t>
  </si>
  <si>
    <t>禾慕</t>
    <phoneticPr fontId="2" type="noConversion"/>
  </si>
  <si>
    <t>2006.06，48V 280Ah</t>
  </si>
  <si>
    <t>7FBR15-22000</t>
  </si>
  <si>
    <t>8FBR13-11445</t>
  </si>
  <si>
    <t>113.05.08</t>
  </si>
  <si>
    <t>2020.11，48V 201Ah</t>
  </si>
  <si>
    <t>富雷克</t>
  </si>
  <si>
    <t>114.01.13</t>
    <phoneticPr fontId="2" type="noConversion"/>
  </si>
  <si>
    <t>113.09.30</t>
    <phoneticPr fontId="2" type="noConversion"/>
  </si>
  <si>
    <t>成龍</t>
    <phoneticPr fontId="2" type="noConversion"/>
  </si>
  <si>
    <t>2017.04，48V 280Ah</t>
    <phoneticPr fontId="2" type="noConversion"/>
  </si>
  <si>
    <t>7FBR20-10884</t>
    <phoneticPr fontId="2" type="noConversion"/>
  </si>
  <si>
    <t>2006.11，48V 320Ah</t>
    <phoneticPr fontId="2" type="noConversion"/>
  </si>
  <si>
    <t>克林/星鏈</t>
    <phoneticPr fontId="2" type="noConversion"/>
  </si>
  <si>
    <t>進豐轉售雋程企業社</t>
    <phoneticPr fontId="2" type="noConversion"/>
  </si>
  <si>
    <t>KOMATSU</t>
    <phoneticPr fontId="2" type="noConversion"/>
  </si>
  <si>
    <t>FB13RL-14-145740</t>
    <phoneticPr fontId="2" type="noConversion"/>
  </si>
  <si>
    <t>2011.07，48V 370Ah</t>
    <phoneticPr fontId="2" type="noConversion"/>
  </si>
  <si>
    <t>7FBR13-14104</t>
  </si>
  <si>
    <t>114.01.16</t>
    <phoneticPr fontId="2" type="noConversion"/>
  </si>
  <si>
    <t>FD25-11-332799</t>
    <phoneticPr fontId="2" type="noConversion"/>
  </si>
  <si>
    <t>報單</t>
    <phoneticPr fontId="2" type="noConversion"/>
  </si>
  <si>
    <t>7FBRK9-11647</t>
  </si>
  <si>
    <t>114.02.10</t>
    <phoneticPr fontId="2" type="noConversion"/>
  </si>
  <si>
    <t>2014.11，48V Ah</t>
  </si>
  <si>
    <t>未給</t>
    <phoneticPr fontId="2" type="noConversion"/>
  </si>
  <si>
    <t>英格馬</t>
  </si>
  <si>
    <t>8FBRK13-10944</t>
  </si>
  <si>
    <t>114.01.06</t>
  </si>
  <si>
    <t>2020.10，48V 201Ah</t>
  </si>
  <si>
    <t>系統電子</t>
    <phoneticPr fontId="2" type="noConversion"/>
  </si>
  <si>
    <t>辰光爭鮮借2/10</t>
    <phoneticPr fontId="2" type="noConversion"/>
  </si>
  <si>
    <t>陽億</t>
    <phoneticPr fontId="2" type="noConversion"/>
  </si>
  <si>
    <t>48V 320Ah，三向</t>
    <phoneticPr fontId="2" type="noConversion"/>
  </si>
  <si>
    <t>2012.10，48V 312AH</t>
    <phoneticPr fontId="2" type="noConversion"/>
  </si>
  <si>
    <t>FBRM15-75-370SF-131AG5415</t>
  </si>
  <si>
    <t>113.08.27</t>
  </si>
  <si>
    <t>114.02.24</t>
    <phoneticPr fontId="2" type="noConversion"/>
  </si>
  <si>
    <t>2011.07，48V 370Ah</t>
  </si>
  <si>
    <t>旭億</t>
  </si>
  <si>
    <t>MITFD30 F14C-33114</t>
  </si>
  <si>
    <t>松璟</t>
  </si>
  <si>
    <t>114.02.17</t>
    <phoneticPr fontId="2" type="noConversion"/>
  </si>
  <si>
    <t>青言</t>
  </si>
  <si>
    <t>SV04B-707700</t>
  </si>
  <si>
    <t>SV04B-708669</t>
  </si>
  <si>
    <t>114.02.26</t>
  </si>
  <si>
    <t>114.02.26</t>
    <phoneticPr fontId="2" type="noConversion"/>
  </si>
  <si>
    <t>東北五金</t>
    <phoneticPr fontId="2" type="noConversion"/>
  </si>
  <si>
    <t>2007.05、換電瓶</t>
    <phoneticPr fontId="2" type="noConversion"/>
  </si>
  <si>
    <t>7FBRS13-10754</t>
  </si>
  <si>
    <t>113.09.18</t>
  </si>
  <si>
    <t>114.03.03</t>
    <phoneticPr fontId="2" type="noConversion"/>
  </si>
  <si>
    <t>2008.12，48V 201Ah</t>
  </si>
  <si>
    <t>華田</t>
    <phoneticPr fontId="2" type="noConversion"/>
  </si>
  <si>
    <t>8FBRS25-10373</t>
    <phoneticPr fontId="2" type="noConversion"/>
  </si>
  <si>
    <t>114.03.03</t>
    <phoneticPr fontId="2" type="noConversion"/>
  </si>
  <si>
    <t>2019.12，48V 390AH</t>
    <phoneticPr fontId="2" type="noConversion"/>
  </si>
  <si>
    <t>2014.03，48V 312AH</t>
    <phoneticPr fontId="2" type="noConversion"/>
  </si>
  <si>
    <t>2017.07，48V 280AH</t>
    <phoneticPr fontId="2" type="noConversion"/>
  </si>
  <si>
    <t>7FBRS14-50225</t>
    <phoneticPr fontId="2" type="noConversion"/>
  </si>
  <si>
    <t>2019.12，24V，685*1070</t>
    <phoneticPr fontId="2" type="noConversion"/>
  </si>
  <si>
    <t>2018.04，24V，685*1070</t>
    <phoneticPr fontId="2" type="noConversion"/>
  </si>
  <si>
    <t>永耀</t>
    <phoneticPr fontId="2" type="noConversion"/>
  </si>
  <si>
    <t>114.02.21</t>
  </si>
  <si>
    <t>114.03.21</t>
    <phoneticPr fontId="2" type="noConversion"/>
  </si>
  <si>
    <t>永耀</t>
    <phoneticPr fontId="2" type="noConversion"/>
  </si>
  <si>
    <t>7FBR15-55560</t>
    <phoneticPr fontId="2" type="noConversion"/>
  </si>
  <si>
    <t>7FBRS15-50185</t>
    <phoneticPr fontId="2" type="noConversion"/>
  </si>
  <si>
    <t>換牌成50185</t>
    <phoneticPr fontId="2" type="noConversion"/>
  </si>
  <si>
    <t>114.03.27</t>
    <phoneticPr fontId="2" type="noConversion"/>
  </si>
  <si>
    <t>113.07.30</t>
    <phoneticPr fontId="2" type="noConversion"/>
  </si>
  <si>
    <t>成龍</t>
    <phoneticPr fontId="2" type="noConversion"/>
  </si>
  <si>
    <t>2018.07，48V 280Ah</t>
    <phoneticPr fontId="2" type="noConversion"/>
  </si>
  <si>
    <t>震穎</t>
    <phoneticPr fontId="2" type="noConversion"/>
  </si>
  <si>
    <t>立式電動</t>
    <phoneticPr fontId="2" type="noConversion"/>
  </si>
  <si>
    <t>TOYOTA</t>
    <phoneticPr fontId="2" type="noConversion"/>
  </si>
  <si>
    <t>6FBR15-30795</t>
    <phoneticPr fontId="2" type="noConversion"/>
  </si>
  <si>
    <t>111.04.20</t>
    <phoneticPr fontId="2" type="noConversion"/>
  </si>
  <si>
    <t>48V 280Ah，1997.09</t>
    <phoneticPr fontId="2" type="noConversion"/>
  </si>
  <si>
    <t>報單貼紙</t>
    <phoneticPr fontId="2" type="noConversion"/>
  </si>
  <si>
    <t>7FBR18-54175</t>
    <phoneticPr fontId="2" type="noConversion"/>
  </si>
  <si>
    <t>2016.12，48V 280AH</t>
    <phoneticPr fontId="2" type="noConversion"/>
  </si>
  <si>
    <t>8FBRK9-11152</t>
  </si>
  <si>
    <t>114.03.28</t>
    <phoneticPr fontId="2" type="noConversion"/>
  </si>
  <si>
    <t>114.02.14</t>
  </si>
  <si>
    <t>2020.02，48V 165Ah</t>
  </si>
  <si>
    <t>英宗</t>
    <phoneticPr fontId="2" type="noConversion"/>
  </si>
  <si>
    <r>
      <t>7FBR18</t>
    </r>
    <r>
      <rPr>
        <sz val="12"/>
        <color theme="1"/>
        <rFont val="新細明體"/>
        <family val="1"/>
        <charset val="136"/>
      </rPr>
      <t>-10930</t>
    </r>
    <phoneticPr fontId="2" type="noConversion"/>
  </si>
  <si>
    <t>高空作業車</t>
    <phoneticPr fontId="2" type="noConversion"/>
  </si>
  <si>
    <t>PH40-3-00455</t>
    <phoneticPr fontId="2" type="noConversion"/>
  </si>
  <si>
    <t>114.03.31</t>
    <phoneticPr fontId="2" type="noConversion"/>
  </si>
  <si>
    <t>2008.11，車重670K</t>
    <phoneticPr fontId="2" type="noConversion"/>
  </si>
  <si>
    <t>NPH40-3-01200</t>
    <phoneticPr fontId="2" type="noConversion"/>
  </si>
  <si>
    <t>2001.11，車重670K</t>
    <phoneticPr fontId="2" type="noConversion"/>
  </si>
  <si>
    <t>座式電動</t>
    <phoneticPr fontId="2" type="noConversion"/>
  </si>
  <si>
    <t>3FB9-10922</t>
    <phoneticPr fontId="2" type="noConversion"/>
  </si>
  <si>
    <t>2018.02，48V 172AH</t>
    <phoneticPr fontId="2" type="noConversion"/>
  </si>
  <si>
    <t>SMAC</t>
    <phoneticPr fontId="2" type="noConversion"/>
  </si>
  <si>
    <t>三多利</t>
    <phoneticPr fontId="2" type="noConversion"/>
  </si>
  <si>
    <t>111.07.02</t>
  </si>
  <si>
    <t>114.04.07</t>
    <phoneticPr fontId="2" type="noConversion"/>
  </si>
  <si>
    <t>1989.01.10</t>
  </si>
  <si>
    <t>縣農會估回</t>
  </si>
  <si>
    <t>達運</t>
    <phoneticPr fontId="2" type="noConversion"/>
  </si>
  <si>
    <t>114.04.15</t>
    <phoneticPr fontId="2" type="noConversion"/>
  </si>
  <si>
    <t>8FBRS18-10947</t>
  </si>
  <si>
    <t>114.03.05</t>
  </si>
  <si>
    <t>金北鑫</t>
  </si>
  <si>
    <t>114.04.15</t>
    <phoneticPr fontId="2" type="noConversion"/>
  </si>
  <si>
    <t>2020.10，48V 280AH</t>
    <phoneticPr fontId="2" type="noConversion"/>
  </si>
  <si>
    <t>114.04.18</t>
    <phoneticPr fontId="2" type="noConversion"/>
  </si>
  <si>
    <t>2005.12，車重2160K</t>
    <phoneticPr fontId="2" type="noConversion"/>
  </si>
  <si>
    <t>NXH80-00104</t>
    <phoneticPr fontId="2" type="noConversion"/>
  </si>
  <si>
    <t>NXH80-00100</t>
    <phoneticPr fontId="2" type="noConversion"/>
  </si>
  <si>
    <t>UPRIGHT</t>
    <phoneticPr fontId="2" type="noConversion"/>
  </si>
  <si>
    <t>20W-30081</t>
    <phoneticPr fontId="2" type="noConversion"/>
  </si>
  <si>
    <t>2005，24V</t>
    <phoneticPr fontId="2" type="noConversion"/>
  </si>
  <si>
    <t>114.04.22</t>
    <phoneticPr fontId="2" type="noConversion"/>
  </si>
  <si>
    <t>盛倫</t>
    <phoneticPr fontId="2" type="noConversion"/>
  </si>
  <si>
    <t>114.04.23</t>
  </si>
  <si>
    <t>新松
松璟介紹</t>
    <phoneticPr fontId="2" type="noConversion"/>
  </si>
  <si>
    <t>2019.12，48V 201AH</t>
    <phoneticPr fontId="2" type="noConversion"/>
  </si>
  <si>
    <t>座式柴油</t>
    <phoneticPr fontId="2" type="noConversion"/>
  </si>
  <si>
    <t>114.04.29</t>
    <phoneticPr fontId="2" type="noConversion"/>
  </si>
  <si>
    <t>鑄盛</t>
    <phoneticPr fontId="2" type="noConversion"/>
  </si>
  <si>
    <t>宥勝-埕銪</t>
    <phoneticPr fontId="2" type="noConversion"/>
  </si>
  <si>
    <t>7FBRS15-10454</t>
  </si>
  <si>
    <t>113.12.10</t>
  </si>
  <si>
    <t>114.05.05</t>
    <phoneticPr fontId="2" type="noConversion"/>
  </si>
  <si>
    <t>2001.11，48V 280Ah</t>
  </si>
  <si>
    <t>114.05.08</t>
    <phoneticPr fontId="2" type="noConversion"/>
  </si>
  <si>
    <t>治品</t>
    <phoneticPr fontId="2" type="noConversion"/>
  </si>
  <si>
    <t>7FBR15-27437</t>
  </si>
  <si>
    <t>114.05.12</t>
    <phoneticPr fontId="2" type="noConversion"/>
  </si>
  <si>
    <t>2008.04，48V 280AH</t>
  </si>
  <si>
    <t>未給</t>
    <phoneticPr fontId="2" type="noConversion"/>
  </si>
  <si>
    <t>MITSUBISHI</t>
    <phoneticPr fontId="2" type="noConversion"/>
  </si>
  <si>
    <t>FD30T-F14E-31333</t>
    <phoneticPr fontId="2" type="noConversion"/>
  </si>
  <si>
    <t>PE56  JD6-20106 直臂</t>
    <phoneticPr fontId="2" type="noConversion"/>
  </si>
  <si>
    <t>震穎-華田</t>
    <phoneticPr fontId="2" type="noConversion"/>
  </si>
  <si>
    <t>114.04.29</t>
    <phoneticPr fontId="2" type="noConversion"/>
  </si>
  <si>
    <t>辰光</t>
    <phoneticPr fontId="2" type="noConversion"/>
  </si>
  <si>
    <t>換回NO.396</t>
    <phoneticPr fontId="2" type="noConversion"/>
  </si>
  <si>
    <t>泰泉-辰光</t>
    <phoneticPr fontId="2" type="noConversion"/>
  </si>
  <si>
    <t>大阪</t>
    <phoneticPr fontId="2" type="noConversion"/>
  </si>
  <si>
    <t>大阪-鑄盛估回</t>
    <phoneticPr fontId="2" type="noConversion"/>
  </si>
  <si>
    <t xml:space="preserve">FBRM13-75-500 121AD1503 </t>
  </si>
  <si>
    <t>100.09.29</t>
  </si>
  <si>
    <t xml:space="preserve"> 2004/06   24V         </t>
  </si>
  <si>
    <t>114.05.21估回</t>
    <phoneticPr fontId="2" type="noConversion"/>
  </si>
  <si>
    <t>8FBRS13-10131</t>
    <phoneticPr fontId="2" type="noConversion"/>
  </si>
  <si>
    <t>114.05.29</t>
    <phoneticPr fontId="2" type="noConversion"/>
  </si>
  <si>
    <t>FD25T F18B-22902</t>
  </si>
  <si>
    <t>113.09.03</t>
  </si>
  <si>
    <t>114.06.03</t>
    <phoneticPr fontId="2" type="noConversion"/>
  </si>
  <si>
    <t>2002.02；</t>
    <phoneticPr fontId="2" type="noConversion"/>
  </si>
  <si>
    <t>FD15Z17-11F05704</t>
  </si>
  <si>
    <t>113.04.23</t>
  </si>
  <si>
    <t>(東茂)
吳國誌</t>
    <phoneticPr fontId="2" type="noConversion"/>
  </si>
  <si>
    <t>(進豐)
宏睿</t>
    <phoneticPr fontId="2" type="noConversion"/>
  </si>
  <si>
    <t>114.06.10</t>
    <phoneticPr fontId="2" type="noConversion"/>
  </si>
  <si>
    <t>7FBR15-67533</t>
    <phoneticPr fontId="2" type="noConversion"/>
  </si>
  <si>
    <t>8FBR15-12557，外充機</t>
    <phoneticPr fontId="2" type="noConversion"/>
  </si>
  <si>
    <t>翰橋</t>
    <phoneticPr fontId="2" type="noConversion"/>
  </si>
  <si>
    <t>7FB15-17222</t>
    <phoneticPr fontId="2" type="noConversion"/>
  </si>
  <si>
    <t>114.06.25</t>
    <phoneticPr fontId="2" type="noConversion"/>
  </si>
  <si>
    <t>7FBR15-62651</t>
    <phoneticPr fontId="2" type="noConversion"/>
  </si>
  <si>
    <t>2016.02，48V 280AH</t>
    <phoneticPr fontId="2" type="noConversion"/>
  </si>
  <si>
    <t>11萬含進豐傭金2萬</t>
    <phoneticPr fontId="2" type="noConversion"/>
  </si>
  <si>
    <t>7FBRS15-51116</t>
    <phoneticPr fontId="2" type="noConversion"/>
  </si>
  <si>
    <t>6FBRS18-30188</t>
    <phoneticPr fontId="2" type="noConversion"/>
  </si>
  <si>
    <t>1998.03，48V 280AH</t>
    <phoneticPr fontId="2" type="noConversion"/>
  </si>
  <si>
    <t>FD60H-5-70490-前四輪</t>
  </si>
  <si>
    <t>107.01.31</t>
  </si>
  <si>
    <t>前後輪825-20、1991</t>
  </si>
  <si>
    <t>114.06.28</t>
    <phoneticPr fontId="2" type="noConversion"/>
  </si>
  <si>
    <t>(三永)
大宏</t>
    <phoneticPr fontId="2" type="noConversion"/>
  </si>
  <si>
    <t>8FBR13-10964</t>
  </si>
  <si>
    <t>114.04.28</t>
  </si>
  <si>
    <t>114.07.17</t>
    <phoneticPr fontId="2" type="noConversion"/>
  </si>
  <si>
    <t>2019.12，48V 201AH</t>
  </si>
  <si>
    <t>萬沐</t>
    <phoneticPr fontId="2" type="noConversion"/>
  </si>
  <si>
    <t>FB25PN-60-241AA2588</t>
    <phoneticPr fontId="2" type="noConversion"/>
  </si>
  <si>
    <t>NYK</t>
    <phoneticPr fontId="2" type="noConversion"/>
  </si>
  <si>
    <t>2016，48V 370AH</t>
    <phoneticPr fontId="2" type="noConversion"/>
  </si>
  <si>
    <t>FBRMW15-H80B-550MSF-131E07250</t>
    <phoneticPr fontId="2" type="noConversion"/>
  </si>
  <si>
    <t>FBRMW15-H80B-550M-131E03037</t>
    <phoneticPr fontId="2" type="noConversion"/>
  </si>
  <si>
    <t>2015，48V 370AH</t>
    <phoneticPr fontId="2" type="noConversion"/>
  </si>
  <si>
    <t>114.07.24</t>
    <phoneticPr fontId="2" type="noConversion"/>
  </si>
  <si>
    <t>7FBR15-58974</t>
  </si>
  <si>
    <t>114.06.25</t>
  </si>
  <si>
    <t>114.07.29</t>
    <phoneticPr fontId="2" type="noConversion"/>
  </si>
  <si>
    <t>2015.02，48V 280AH</t>
  </si>
  <si>
    <t>爵品</t>
    <phoneticPr fontId="2" type="noConversion"/>
  </si>
  <si>
    <t>座式柴油</t>
    <phoneticPr fontId="2" type="noConversion"/>
  </si>
  <si>
    <t>台勵福</t>
    <phoneticPr fontId="2" type="noConversion"/>
  </si>
  <si>
    <t xml:space="preserve">FD25T </t>
    <phoneticPr fontId="2" type="noConversion"/>
  </si>
  <si>
    <t>1997，無估回紀錄</t>
    <phoneticPr fontId="2" type="noConversion"/>
  </si>
  <si>
    <t>松璟
估回</t>
    <phoneticPr fontId="2" type="noConversion"/>
  </si>
  <si>
    <t>114.08.05</t>
    <phoneticPr fontId="2" type="noConversion"/>
  </si>
  <si>
    <t>春民</t>
    <phoneticPr fontId="2" type="noConversion"/>
  </si>
  <si>
    <t>無報單</t>
    <phoneticPr fontId="2" type="noConversion"/>
  </si>
  <si>
    <t>7FBR18-12427</t>
  </si>
  <si>
    <t>114.03.21</t>
  </si>
  <si>
    <t>黃金滿</t>
    <phoneticPr fontId="2" type="noConversion"/>
  </si>
  <si>
    <t>114.08.11</t>
    <phoneticPr fontId="2" type="noConversion"/>
  </si>
  <si>
    <t>2006.07，48V 280AH</t>
  </si>
  <si>
    <t>7FBH15/7FB18-16472</t>
    <phoneticPr fontId="2" type="noConversion"/>
  </si>
  <si>
    <t>座式汽油</t>
    <phoneticPr fontId="2" type="noConversion"/>
  </si>
  <si>
    <t>KOMATSU</t>
    <phoneticPr fontId="2" type="noConversion"/>
  </si>
  <si>
    <t>FG20-11-258022</t>
    <phoneticPr fontId="2" type="noConversion"/>
  </si>
  <si>
    <t>113.06.25</t>
    <phoneticPr fontId="2" type="noConversion"/>
  </si>
  <si>
    <t>KOMATSU</t>
    <phoneticPr fontId="2" type="noConversion"/>
  </si>
  <si>
    <t>114.08.14</t>
    <phoneticPr fontId="2" type="noConversion"/>
  </si>
  <si>
    <t>FB13RL-15-156924</t>
    <phoneticPr fontId="2" type="noConversion"/>
  </si>
  <si>
    <t>2017，48V 201AH</t>
    <phoneticPr fontId="2" type="noConversion"/>
  </si>
  <si>
    <t>金運</t>
    <phoneticPr fontId="2" type="noConversion"/>
  </si>
  <si>
    <t>8FBR15-25835</t>
  </si>
  <si>
    <t>114.07.24</t>
  </si>
  <si>
    <t>114.08.18</t>
    <phoneticPr fontId="2" type="noConversion"/>
  </si>
  <si>
    <t>2021.04，48V 280AH</t>
  </si>
  <si>
    <t>7FBR15-57747</t>
    <phoneticPr fontId="2" type="noConversion"/>
  </si>
  <si>
    <t>114.09.02</t>
    <phoneticPr fontId="2" type="noConversion"/>
  </si>
  <si>
    <t>2014.10 ，48V 312AH</t>
    <phoneticPr fontId="2" type="noConversion"/>
  </si>
  <si>
    <t>RFTL10T-B60-450-922AB0033</t>
  </si>
  <si>
    <t>112.07.26</t>
  </si>
  <si>
    <t>48V 280Ah</t>
    <phoneticPr fontId="2" type="noConversion"/>
  </si>
  <si>
    <t>富田</t>
    <phoneticPr fontId="2" type="noConversion"/>
  </si>
  <si>
    <t>113.05.08出貨</t>
    <phoneticPr fontId="2" type="noConversion"/>
  </si>
  <si>
    <t>二林電商
宸筠</t>
    <phoneticPr fontId="2" type="noConversion"/>
  </si>
  <si>
    <t>不可考</t>
    <phoneticPr fontId="2" type="noConversion"/>
  </si>
  <si>
    <t>補登</t>
    <phoneticPr fontId="2" type="noConversion"/>
  </si>
  <si>
    <t>石動-隆錸</t>
    <phoneticPr fontId="2" type="noConversion"/>
  </si>
  <si>
    <t>7FBR15-11277</t>
    <phoneticPr fontId="2" type="noConversion"/>
  </si>
  <si>
    <t>7FBRS15-50014</t>
    <phoneticPr fontId="2" type="noConversion"/>
  </si>
  <si>
    <t>2012.07，48V 280AH</t>
    <phoneticPr fontId="2" type="noConversion"/>
  </si>
  <si>
    <t>7FBR15-66859</t>
    <phoneticPr fontId="2" type="noConversion"/>
  </si>
  <si>
    <t xml:space="preserve">2017.02，48V </t>
    <phoneticPr fontId="2" type="noConversion"/>
  </si>
  <si>
    <t>8FBR13-10574</t>
    <phoneticPr fontId="2" type="noConversion"/>
  </si>
  <si>
    <t>114.10.03</t>
    <phoneticPr fontId="2" type="noConversion"/>
  </si>
  <si>
    <t>赫莉亞</t>
    <phoneticPr fontId="2" type="noConversion"/>
  </si>
  <si>
    <t>震穎</t>
    <phoneticPr fontId="2" type="noConversion"/>
  </si>
  <si>
    <t>1997.09，48V</t>
  </si>
  <si>
    <t>估回無報單</t>
    <phoneticPr fontId="2" type="noConversion"/>
  </si>
  <si>
    <t>進鑫-典洋
赫莉亞</t>
    <phoneticPr fontId="2" type="noConversion"/>
  </si>
  <si>
    <t>FBRMW15-75-500M-131AG7487</t>
  </si>
  <si>
    <t>貳柒</t>
    <phoneticPr fontId="2" type="noConversion"/>
  </si>
  <si>
    <t>114.07.03</t>
    <phoneticPr fontId="2" type="noConversion"/>
  </si>
  <si>
    <t>48V 280Ah，三截</t>
    <phoneticPr fontId="2" type="noConversion"/>
  </si>
  <si>
    <t>7FBR13-13912</t>
  </si>
  <si>
    <t>2011.02，48V 225Ah</t>
  </si>
  <si>
    <t>2015.06，48V 280AH</t>
    <phoneticPr fontId="2" type="noConversion"/>
  </si>
  <si>
    <t>8FBRK9-11225</t>
    <phoneticPr fontId="2" type="noConversion"/>
  </si>
  <si>
    <t>2020.03，48V 165AH</t>
    <phoneticPr fontId="2" type="noConversion"/>
  </si>
  <si>
    <t>7FBR18-54771</t>
    <phoneticPr fontId="2" type="noConversion"/>
  </si>
  <si>
    <t>2017.07，48V 465AH</t>
    <phoneticPr fontId="2" type="noConversion"/>
  </si>
  <si>
    <t>MITSUBISHI</t>
    <phoneticPr fontId="2" type="noConversion"/>
  </si>
  <si>
    <t>7FBR18-52483</t>
    <phoneticPr fontId="2" type="noConversion"/>
  </si>
  <si>
    <t>YAMAHA</t>
    <phoneticPr fontId="2" type="noConversion"/>
  </si>
  <si>
    <t>FISH-22B-00342</t>
    <phoneticPr fontId="2" type="noConversion"/>
  </si>
  <si>
    <t>114.10.08</t>
    <phoneticPr fontId="2" type="noConversion"/>
  </si>
  <si>
    <t>FG10-F25A-00536</t>
    <phoneticPr fontId="2" type="noConversion"/>
  </si>
  <si>
    <t>宏棨估回</t>
    <phoneticPr fontId="2" type="noConversion"/>
  </si>
  <si>
    <t>立國</t>
    <phoneticPr fontId="2" type="noConversion"/>
  </si>
  <si>
    <t>114.10.14-115.10.13</t>
    <phoneticPr fontId="2" type="noConversion"/>
  </si>
  <si>
    <t>2011.06，48V 201AH</t>
    <phoneticPr fontId="2" type="noConversion"/>
  </si>
  <si>
    <t>新松
松璟介紹</t>
    <phoneticPr fontId="2" type="noConversion"/>
  </si>
  <si>
    <t>114.10.18</t>
    <phoneticPr fontId="2" type="noConversion"/>
  </si>
  <si>
    <t>震穎-新松</t>
    <phoneticPr fontId="2" type="noConversion"/>
  </si>
  <si>
    <t>114.10.20</t>
    <phoneticPr fontId="2" type="noConversion"/>
  </si>
  <si>
    <t>7FBR10-15842</t>
    <phoneticPr fontId="2" type="noConversion"/>
  </si>
  <si>
    <t>禎巧妙</t>
  </si>
  <si>
    <t>114.10.27</t>
    <phoneticPr fontId="2" type="noConversion"/>
  </si>
  <si>
    <t>114.10.28</t>
    <phoneticPr fontId="2" type="noConversion"/>
  </si>
  <si>
    <t>2008.10，48V 280AH</t>
    <phoneticPr fontId="2" type="noConversion"/>
  </si>
  <si>
    <t>7FBR15-28869</t>
    <phoneticPr fontId="2" type="noConversion"/>
  </si>
  <si>
    <t>報單</t>
    <phoneticPr fontId="2" type="noConversion"/>
  </si>
  <si>
    <t>114.11.03</t>
    <phoneticPr fontId="2" type="noConversion"/>
  </si>
  <si>
    <t>捷麗明</t>
    <phoneticPr fontId="2" type="noConversion"/>
  </si>
  <si>
    <t>鎧鈺
奇異</t>
    <phoneticPr fontId="2" type="noConversion"/>
  </si>
  <si>
    <t>6FBRS15-31387</t>
    <phoneticPr fontId="2" type="noConversion"/>
  </si>
  <si>
    <t>映瑞</t>
    <phoneticPr fontId="2" type="noConversion"/>
  </si>
  <si>
    <t>展誠-俊卿客人</t>
    <phoneticPr fontId="2" type="noConversion"/>
  </si>
  <si>
    <t>洪尉嘉</t>
    <phoneticPr fontId="2" type="noConversion"/>
  </si>
  <si>
    <t>勁達</t>
    <phoneticPr fontId="2" type="noConversion"/>
  </si>
  <si>
    <t>7FBRS15-51971</t>
  </si>
  <si>
    <t>114.04.02</t>
  </si>
  <si>
    <t>2015.06，48V 280AH</t>
  </si>
  <si>
    <t>宇慶</t>
    <phoneticPr fontId="2" type="noConversion"/>
  </si>
  <si>
    <t>宏棨估回</t>
    <phoneticPr fontId="2" type="noConversion"/>
  </si>
  <si>
    <t>6FBR13-30226</t>
    <phoneticPr fontId="2" type="noConversion"/>
  </si>
  <si>
    <t>報單貼紙</t>
    <phoneticPr fontId="2" type="noConversion"/>
  </si>
  <si>
    <t>11/14寄</t>
    <phoneticPr fontId="2" type="noConversion"/>
  </si>
  <si>
    <t>8FB15-53017</t>
    <phoneticPr fontId="2" type="noConversion"/>
  </si>
  <si>
    <t>8FB15-53960</t>
    <phoneticPr fontId="2" type="noConversion"/>
  </si>
  <si>
    <t>114.11.25</t>
    <phoneticPr fontId="2" type="noConversion"/>
  </si>
  <si>
    <t>未付清</t>
    <phoneticPr fontId="2" type="noConversion"/>
  </si>
  <si>
    <t>2025.09，48V 400AH</t>
    <phoneticPr fontId="2" type="noConversion"/>
  </si>
  <si>
    <t>2025.09，48V 400AH</t>
    <phoneticPr fontId="2" type="noConversion"/>
  </si>
  <si>
    <t>114.12.04</t>
    <phoneticPr fontId="2" type="noConversion"/>
  </si>
  <si>
    <t>金門防衛
指揮部</t>
    <phoneticPr fontId="2" type="noConversion"/>
  </si>
  <si>
    <t>114.12.15</t>
    <phoneticPr fontId="2" type="noConversion"/>
  </si>
  <si>
    <t>魔力旺</t>
    <phoneticPr fontId="2" type="noConversion"/>
  </si>
  <si>
    <t>慶隆
估回</t>
    <phoneticPr fontId="2" type="noConversion"/>
  </si>
  <si>
    <t>FBRAW13-60B-550M-121AB4425</t>
  </si>
  <si>
    <t>113.05.02</t>
  </si>
  <si>
    <t>24V 470Ah</t>
  </si>
  <si>
    <t>114.12.18</t>
    <phoneticPr fontId="2" type="noConversion"/>
  </si>
  <si>
    <t>2014.01，48V 320Ah</t>
    <phoneticPr fontId="2" type="noConversion"/>
  </si>
  <si>
    <t>6FB18-22506</t>
  </si>
  <si>
    <t>115.01.05</t>
    <phoneticPr fontId="2" type="noConversion"/>
  </si>
  <si>
    <t>1999.04，</t>
  </si>
  <si>
    <t>和記</t>
    <phoneticPr fontId="2" type="noConversion"/>
  </si>
  <si>
    <t>7FBRS20-13170</t>
    <phoneticPr fontId="2" type="noConversion"/>
  </si>
  <si>
    <t>115.01.06</t>
    <phoneticPr fontId="2" type="noConversion"/>
  </si>
  <si>
    <t>2017.06，48V 445Ah</t>
    <phoneticPr fontId="2" type="noConversion"/>
  </si>
  <si>
    <t>億陞</t>
  </si>
  <si>
    <t>7FBR15-54539</t>
  </si>
  <si>
    <t>115.01.01</t>
    <phoneticPr fontId="2" type="noConversion"/>
  </si>
  <si>
    <t>2013.11，48V 312AH</t>
  </si>
  <si>
    <t>114.07.01-115.06.30</t>
    <phoneticPr fontId="2" type="noConversion"/>
  </si>
  <si>
    <t>114.12.23-115.12.22</t>
    <phoneticPr fontId="2" type="noConversion"/>
  </si>
  <si>
    <t>114.09.04-115.09.03</t>
    <phoneticPr fontId="2" type="noConversion"/>
  </si>
  <si>
    <t>114.11.01-115.10.31</t>
    <phoneticPr fontId="2" type="noConversion"/>
  </si>
  <si>
    <t>114.10.12-115.10.11</t>
    <phoneticPr fontId="2" type="noConversion"/>
  </si>
  <si>
    <t>114.11.10-115.05.09</t>
    <phoneticPr fontId="2" type="noConversion"/>
  </si>
  <si>
    <t>左右側移/2007</t>
    <phoneticPr fontId="2" type="noConversion"/>
  </si>
  <si>
    <t>52-8FD25-14301</t>
    <phoneticPr fontId="2" type="noConversion"/>
  </si>
  <si>
    <t>昇旺精密</t>
    <phoneticPr fontId="2" type="noConversion"/>
  </si>
  <si>
    <t>未開支票</t>
    <phoneticPr fontId="2" type="noConversion"/>
  </si>
  <si>
    <t>進口報單</t>
    <phoneticPr fontId="2" type="noConversion"/>
  </si>
  <si>
    <t>報單</t>
    <phoneticPr fontId="2" type="noConversion"/>
  </si>
  <si>
    <t>報單</t>
    <phoneticPr fontId="2" type="noConversion"/>
  </si>
  <si>
    <t>5FB20 A5FB25-21080</t>
    <phoneticPr fontId="2" type="noConversion"/>
  </si>
  <si>
    <t>1995，48V</t>
    <phoneticPr fontId="2" type="noConversion"/>
  </si>
  <si>
    <t xml:space="preserve">  </t>
    <phoneticPr fontId="2" type="noConversion"/>
  </si>
  <si>
    <t>7FBR15-65550</t>
    <phoneticPr fontId="2" type="noConversion"/>
  </si>
  <si>
    <t>115.01.13</t>
    <phoneticPr fontId="2" type="noConversion"/>
  </si>
  <si>
    <t>2016.10，48V 280AH</t>
    <phoneticPr fontId="2" type="noConversion"/>
  </si>
  <si>
    <t>座式汽油</t>
    <phoneticPr fontId="2" type="noConversion"/>
  </si>
  <si>
    <t>115.01.14</t>
    <phoneticPr fontId="2" type="noConversion"/>
  </si>
  <si>
    <t>兆微</t>
    <phoneticPr fontId="2" type="noConversion"/>
  </si>
  <si>
    <t>座式電動</t>
    <phoneticPr fontId="2" type="noConversion"/>
  </si>
  <si>
    <t>立式電動</t>
    <phoneticPr fontId="2" type="noConversion"/>
  </si>
  <si>
    <t>8FBH25-22587</t>
    <phoneticPr fontId="2" type="noConversion"/>
  </si>
  <si>
    <t>2020.01，48V</t>
    <phoneticPr fontId="2" type="noConversion"/>
  </si>
  <si>
    <t>7FBR15-59563</t>
    <phoneticPr fontId="2" type="noConversion"/>
  </si>
  <si>
    <t>115.2/3東茂取</t>
    <phoneticPr fontId="2" type="noConversion"/>
  </si>
  <si>
    <t>8FBR15-19059</t>
    <phoneticPr fontId="2" type="noConversion"/>
  </si>
  <si>
    <t>已無報單</t>
    <phoneticPr fontId="2" type="noConversion"/>
  </si>
  <si>
    <t>2019.10，48V 281AH</t>
    <phoneticPr fontId="2" type="noConversion"/>
  </si>
  <si>
    <t>115.02.05</t>
    <phoneticPr fontId="2" type="noConversion"/>
  </si>
  <si>
    <t>115.02.12</t>
    <phoneticPr fontId="2" type="noConversion"/>
  </si>
  <si>
    <t>2015.04，48V 280AH</t>
    <phoneticPr fontId="2" type="noConversion"/>
  </si>
  <si>
    <t>2003.05，48V 280AH</t>
    <phoneticPr fontId="2" type="noConversion"/>
  </si>
  <si>
    <t>7FBH25-54163</t>
    <phoneticPr fontId="2" type="noConversion"/>
  </si>
  <si>
    <t>2014.10，48V 730AH</t>
    <phoneticPr fontId="2" type="noConversion"/>
  </si>
  <si>
    <t>NIKKEN AERIAL</t>
    <phoneticPr fontId="2" type="noConversion"/>
  </si>
  <si>
    <t>無報單</t>
    <phoneticPr fontId="2" type="noConversion"/>
  </si>
  <si>
    <t>無報單</t>
    <phoneticPr fontId="2" type="noConversion"/>
  </si>
  <si>
    <t>報單</t>
    <phoneticPr fontId="2" type="noConversion"/>
  </si>
  <si>
    <t>報單</t>
    <phoneticPr fontId="2" type="noConversion"/>
  </si>
  <si>
    <t>115.02.24</t>
    <phoneticPr fontId="2" type="noConversion"/>
  </si>
  <si>
    <t>7FBRS15-52146</t>
    <phoneticPr fontId="2" type="noConversion"/>
  </si>
  <si>
    <t>2015.09，48V 370AH</t>
    <phoneticPr fontId="2" type="noConversion"/>
  </si>
  <si>
    <t>2021.11，48V 370AH</t>
    <phoneticPr fontId="2" type="noConversion"/>
  </si>
  <si>
    <t>2019.06，48V 320AH</t>
    <phoneticPr fontId="2" type="noConversion"/>
  </si>
  <si>
    <r>
      <t xml:space="preserve">8FBR15-29053 </t>
    </r>
    <r>
      <rPr>
        <sz val="12"/>
        <color rgb="FFFF0000"/>
        <rFont val="新細明體"/>
        <family val="1"/>
        <charset val="136"/>
        <scheme val="minor"/>
      </rPr>
      <t>頂棚歪斜</t>
    </r>
    <phoneticPr fontId="2" type="noConversion"/>
  </si>
  <si>
    <t>7FBR20-12250</t>
    <phoneticPr fontId="2" type="noConversion"/>
  </si>
  <si>
    <t>報單</t>
    <phoneticPr fontId="2" type="noConversion"/>
  </si>
  <si>
    <t>丰偉</t>
    <phoneticPr fontId="2" type="noConversion"/>
  </si>
  <si>
    <t>115.03.10-115.10.09</t>
    <phoneticPr fontId="2" type="noConversion"/>
  </si>
  <si>
    <t>AP-42-4-80101 ZA-3064</t>
    <phoneticPr fontId="2" type="noConversion"/>
  </si>
  <si>
    <t>TADANO</t>
    <phoneticPr fontId="2" type="noConversion"/>
  </si>
  <si>
    <t>2010.  AC100V</t>
    <phoneticPr fontId="2" type="noConversion"/>
  </si>
  <si>
    <t>潔新</t>
  </si>
  <si>
    <t>威佳</t>
  </si>
  <si>
    <t>7FBRS18-10471</t>
  </si>
  <si>
    <t>7FBRS18-10471</t>
    <phoneticPr fontId="2" type="noConversion"/>
  </si>
  <si>
    <t>8FBR15-17016</t>
  </si>
  <si>
    <t>8FBR15-17016</t>
    <phoneticPr fontId="2" type="noConversion"/>
  </si>
  <si>
    <t>威佳</t>
    <phoneticPr fontId="2" type="noConversion"/>
  </si>
  <si>
    <t>115.02.12</t>
  </si>
  <si>
    <t>115.03.17</t>
    <phoneticPr fontId="2" type="noConversion"/>
  </si>
  <si>
    <t>115.03.18</t>
    <phoneticPr fontId="2" type="noConversion"/>
  </si>
  <si>
    <t>2003.05，48V 280AH</t>
  </si>
  <si>
    <t>2019.06，48V 320AH</t>
  </si>
  <si>
    <t>115.02.24</t>
  </si>
  <si>
    <t>潔新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</si>
</sst>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#,##0_);[Red]\(#,##0\)"/>
    <numFmt numFmtId="177" formatCode="[$-404]e\.mm\.dd;@"/>
    <numFmt numFmtId="178" formatCode="0.0"/>
    <numFmt numFmtId="179" formatCode="0.0_ "/>
    <numFmt numFmtId="180" formatCode="0.000_ "/>
    <numFmt numFmtId="181" formatCode="_-* #,##0_-;\-* #,##0_-;_-* &quot;-&quot;??_-;_-@_-"/>
    <numFmt numFmtId="182" formatCode="#,##0.0;[Red]\-#,##0.0"/>
    <numFmt numFmtId="183" formatCode="0.00_ "/>
    <numFmt numFmtId="184" formatCode="_-&quot;$&quot;* #,##0_-;\-&quot;$&quot;* #,##0_-;_-&quot;$&quot;* &quot;-&quot;??_-;_-@_-"/>
  </numFmts>
  <fonts count="108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12"/>
      <name val="微軟正黑體"/>
      <family val="2"/>
      <charset val="136"/>
    </font>
    <font>
      <sz val="14"/>
      <color indexed="20"/>
      <name val="標楷體"/>
      <family val="4"/>
      <charset val="136"/>
    </font>
    <font>
      <sz val="9"/>
      <color indexed="81"/>
      <name val="新細明體"/>
      <family val="1"/>
      <charset val="136"/>
    </font>
    <font>
      <sz val="10"/>
      <color indexed="12"/>
      <name val="微軟正黑體"/>
      <family val="2"/>
      <charset val="136"/>
    </font>
    <font>
      <sz val="16"/>
      <color indexed="45"/>
      <name val="微軟正黑體"/>
      <family val="2"/>
      <charset val="136"/>
    </font>
    <font>
      <b/>
      <sz val="9"/>
      <color indexed="81"/>
      <name val="新細明體"/>
      <family val="1"/>
      <charset val="136"/>
    </font>
    <font>
      <b/>
      <sz val="14"/>
      <color indexed="81"/>
      <name val="微軟正黑體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sz val="12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2"/>
      <color indexed="8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name val="新細明體"/>
      <family val="1"/>
      <charset val="136"/>
    </font>
    <font>
      <sz val="12"/>
      <color indexed="3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b/>
      <sz val="16"/>
      <color indexed="9"/>
      <name val="新細明體"/>
      <family val="1"/>
      <charset val="136"/>
    </font>
    <font>
      <b/>
      <u/>
      <sz val="16"/>
      <color indexed="9"/>
      <name val="新細明體"/>
      <family val="1"/>
      <charset val="136"/>
    </font>
    <font>
      <sz val="11"/>
      <color indexed="8"/>
      <name val="新細明體"/>
      <family val="1"/>
      <charset val="136"/>
    </font>
    <font>
      <b/>
      <sz val="11"/>
      <color indexed="21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81"/>
      <name val="Tahoma"/>
      <family val="2"/>
    </font>
    <font>
      <b/>
      <sz val="12"/>
      <color indexed="81"/>
      <name val="細明體"/>
      <family val="3"/>
      <charset val="136"/>
    </font>
    <font>
      <b/>
      <sz val="14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5"/>
      <color indexed="81"/>
      <name val="細明體"/>
      <family val="3"/>
      <charset val="136"/>
    </font>
    <font>
      <b/>
      <sz val="15"/>
      <color indexed="81"/>
      <name val="Tahoma"/>
      <family val="2"/>
    </font>
    <font>
      <b/>
      <sz val="20"/>
      <color indexed="81"/>
      <name val="細明體"/>
      <family val="3"/>
      <charset val="136"/>
    </font>
    <font>
      <b/>
      <sz val="16"/>
      <color indexed="8"/>
      <name val="新細明體"/>
      <family val="1"/>
      <charset val="136"/>
    </font>
    <font>
      <b/>
      <sz val="16"/>
      <color indexed="81"/>
      <name val="Tahoma"/>
      <family val="2"/>
    </font>
    <font>
      <b/>
      <sz val="20"/>
      <color indexed="81"/>
      <name val="Tahoma"/>
      <family val="2"/>
    </font>
    <font>
      <b/>
      <sz val="18"/>
      <color indexed="81"/>
      <name val="Tahoma"/>
      <family val="2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indexed="8"/>
      <name val="新細明體"/>
      <family val="1"/>
      <charset val="136"/>
      <scheme val="minor"/>
    </font>
    <font>
      <b/>
      <sz val="12"/>
      <color indexed="18"/>
      <name val="新細明體"/>
      <family val="1"/>
      <charset val="136"/>
      <scheme val="minor"/>
    </font>
    <font>
      <sz val="12"/>
      <color indexed="20"/>
      <name val="新細明體"/>
      <family val="1"/>
      <charset val="136"/>
      <scheme val="minor"/>
    </font>
    <font>
      <sz val="12"/>
      <color indexed="17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u/>
      <sz val="22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1"/>
      <color indexed="18"/>
      <name val="新細明體"/>
      <family val="1"/>
      <charset val="136"/>
      <scheme val="minor"/>
    </font>
    <font>
      <sz val="11"/>
      <color indexed="8"/>
      <name val="新細明體"/>
      <family val="1"/>
      <charset val="136"/>
      <scheme val="minor"/>
    </font>
    <font>
      <sz val="11"/>
      <color indexed="12"/>
      <name val="新細明體"/>
      <family val="1"/>
      <charset val="136"/>
      <scheme val="minor"/>
    </font>
    <font>
      <b/>
      <sz val="11"/>
      <color indexed="18"/>
      <name val="新細明體"/>
      <family val="1"/>
      <charset val="136"/>
      <scheme val="minor"/>
    </font>
    <font>
      <b/>
      <sz val="11"/>
      <color indexed="8"/>
      <name val="新細明體"/>
      <family val="1"/>
      <charset val="136"/>
      <scheme val="minor"/>
    </font>
    <font>
      <sz val="11"/>
      <color rgb="FF0000FF"/>
      <name val="新細明體"/>
      <family val="1"/>
      <charset val="136"/>
      <scheme val="minor"/>
    </font>
    <font>
      <sz val="12"/>
      <color rgb="FF800080"/>
      <name val="新細明體"/>
      <family val="1"/>
      <charset val="136"/>
      <scheme val="minor"/>
    </font>
    <font>
      <b/>
      <sz val="12"/>
      <color rgb="FF800080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rgb="FF0000FF"/>
      <name val="新細明體"/>
      <family val="1"/>
      <charset val="136"/>
      <scheme val="minor"/>
    </font>
    <font>
      <b/>
      <sz val="16"/>
      <color indexed="9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sz val="11"/>
      <color indexed="21"/>
      <name val="新細明體"/>
      <family val="1"/>
      <charset val="136"/>
      <scheme val="minor"/>
    </font>
    <font>
      <b/>
      <sz val="11"/>
      <color indexed="21"/>
      <name val="新細明體"/>
      <family val="1"/>
      <charset val="136"/>
      <scheme val="minor"/>
    </font>
    <font>
      <sz val="12"/>
      <color indexed="19"/>
      <name val="新細明體"/>
      <family val="1"/>
      <charset val="136"/>
      <scheme val="minor"/>
    </font>
    <font>
      <sz val="12"/>
      <name val="新細明體"/>
      <family val="1"/>
      <charset val="136"/>
      <scheme val="major"/>
    </font>
    <font>
      <sz val="12"/>
      <color rgb="FF00B0F0"/>
      <name val="新細明體"/>
      <family val="1"/>
      <charset val="136"/>
      <scheme val="minor"/>
    </font>
    <font>
      <b/>
      <u/>
      <sz val="12"/>
      <color theme="1"/>
      <name val="新細明體"/>
      <family val="1"/>
      <charset val="136"/>
      <scheme val="minor"/>
    </font>
    <font>
      <b/>
      <u/>
      <sz val="12"/>
      <name val="新細明體"/>
      <family val="1"/>
      <charset val="136"/>
      <scheme val="minor"/>
    </font>
    <font>
      <b/>
      <u/>
      <sz val="22"/>
      <name val="新細明體"/>
      <family val="1"/>
      <charset val="136"/>
      <scheme val="minor"/>
    </font>
    <font>
      <b/>
      <sz val="20"/>
      <color indexed="8"/>
      <name val="新細明體"/>
      <family val="1"/>
      <charset val="136"/>
      <scheme val="minor"/>
    </font>
    <font>
      <sz val="12"/>
      <color rgb="FFFF3399"/>
      <name val="新細明體"/>
      <family val="1"/>
      <charset val="136"/>
      <scheme val="minor"/>
    </font>
    <font>
      <b/>
      <sz val="12"/>
      <color rgb="FFFF3399"/>
      <name val="新細明體"/>
      <family val="1"/>
      <charset val="136"/>
    </font>
    <font>
      <sz val="12"/>
      <color rgb="FFFF3399"/>
      <name val="新細明體"/>
      <family val="1"/>
      <charset val="136"/>
    </font>
    <font>
      <sz val="12"/>
      <color rgb="FF009999"/>
      <name val="新細明體"/>
      <family val="1"/>
      <charset val="136"/>
      <scheme val="minor"/>
    </font>
    <font>
      <b/>
      <sz val="12"/>
      <color rgb="FF009999"/>
      <name val="新細明體"/>
      <family val="1"/>
      <charset val="136"/>
      <scheme val="minor"/>
    </font>
    <font>
      <b/>
      <u/>
      <sz val="12"/>
      <color rgb="FFFF0000"/>
      <name val="新細明體"/>
      <family val="1"/>
      <charset val="136"/>
      <scheme val="minor"/>
    </font>
    <font>
      <sz val="12"/>
      <color rgb="FFFF00FF"/>
      <name val="新細明體"/>
      <family val="1"/>
      <charset val="136"/>
      <scheme val="minor"/>
    </font>
    <font>
      <b/>
      <sz val="12"/>
      <color rgb="FF00B0F0"/>
      <name val="新細明體"/>
      <family val="1"/>
      <charset val="136"/>
      <scheme val="minor"/>
    </font>
    <font>
      <sz val="50"/>
      <name val="新細明體"/>
      <family val="1"/>
      <charset val="136"/>
    </font>
    <font>
      <b/>
      <sz val="16"/>
      <color rgb="FFFF0000"/>
      <name val="新細明體"/>
      <family val="1"/>
      <charset val="136"/>
    </font>
    <font>
      <sz val="12"/>
      <color rgb="FF009999"/>
      <name val="新細明體"/>
      <family val="1"/>
      <charset val="136"/>
    </font>
    <font>
      <b/>
      <sz val="12"/>
      <color rgb="FFFF3399"/>
      <name val="新細明體"/>
      <family val="1"/>
      <charset val="136"/>
      <scheme val="minor"/>
    </font>
    <font>
      <b/>
      <sz val="10"/>
      <color indexed="81"/>
      <name val="Tahoma"/>
      <family val="2"/>
    </font>
    <font>
      <b/>
      <sz val="10"/>
      <color indexed="81"/>
      <name val="細明體"/>
      <family val="3"/>
      <charset val="136"/>
    </font>
    <font>
      <sz val="10"/>
      <color indexed="81"/>
      <name val="Tahoma"/>
      <family val="2"/>
    </font>
    <font>
      <sz val="10"/>
      <color indexed="81"/>
      <name val="細明體"/>
      <family val="3"/>
      <charset val="136"/>
    </font>
    <font>
      <sz val="10"/>
      <name val="新細明體"/>
      <family val="1"/>
      <charset val="136"/>
      <scheme val="minor"/>
    </font>
    <font>
      <b/>
      <sz val="20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sz val="11"/>
      <color indexed="81"/>
      <name val="細明體"/>
      <family val="3"/>
      <charset val="136"/>
    </font>
    <font>
      <b/>
      <sz val="11"/>
      <color indexed="81"/>
      <name val="Tahoma"/>
      <family val="2"/>
    </font>
    <font>
      <b/>
      <sz val="10"/>
      <color indexed="10"/>
      <name val="新細明體"/>
      <family val="1"/>
      <charset val="136"/>
    </font>
    <font>
      <b/>
      <sz val="12"/>
      <color rgb="FF7030A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81"/>
      <name val="新細明體"/>
      <family val="1"/>
      <charset val="136"/>
    </font>
    <font>
      <b/>
      <sz val="10"/>
      <color indexed="81"/>
      <name val="新細明體"/>
      <family val="1"/>
      <charset val="136"/>
      <scheme val="minor"/>
    </font>
    <font>
      <sz val="12"/>
      <color rgb="FF7030A0"/>
      <name val="新細明體"/>
      <family val="1"/>
      <charset val="136"/>
      <scheme val="minor"/>
    </font>
    <font>
      <b/>
      <sz val="10"/>
      <color indexed="28"/>
      <name val="新細明體"/>
      <family val="1"/>
      <charset val="136"/>
    </font>
    <font>
      <b/>
      <sz val="12"/>
      <color indexed="28"/>
      <name val="新細明體"/>
      <family val="1"/>
      <charset val="136"/>
    </font>
    <font>
      <b/>
      <sz val="11"/>
      <color indexed="8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6" tint="-0.499984740745262"/>
      <name val="新細明體"/>
      <family val="1"/>
      <charset val="136"/>
      <scheme val="minor"/>
    </font>
    <font>
      <b/>
      <sz val="12"/>
      <color theme="6" tint="-0.499984740745262"/>
      <name val="新細明體"/>
      <family val="1"/>
      <charset val="136"/>
      <scheme val="minor"/>
    </font>
    <font>
      <sz val="12"/>
      <color theme="8" tint="-0.249977111117893"/>
      <name val="新細明體"/>
      <family val="1"/>
      <charset val="136"/>
      <scheme val="minor"/>
    </font>
    <font>
      <b/>
      <sz val="12"/>
      <color theme="8" tint="-0.249977111117893"/>
      <name val="新細明體"/>
      <family val="1"/>
      <charset val="136"/>
      <scheme val="minor"/>
    </font>
    <font>
      <sz val="12"/>
      <color theme="9" tint="-0.499984740745262"/>
      <name val="新細明體"/>
      <family val="1"/>
      <charset val="136"/>
      <scheme val="minor"/>
    </font>
    <font>
      <b/>
      <sz val="12"/>
      <color theme="9" tint="-0.499984740745262"/>
      <name val="新細明體"/>
      <family val="1"/>
      <charset val="136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817">
    <xf numFmtId="0" fontId="0" fillId="0" borderId="0" xfId="0">
      <alignment vertical="center"/>
    </xf>
    <xf numFmtId="0" fontId="7" fillId="2" borderId="0" xfId="0" applyFont="1" applyFill="1">
      <alignment vertical="center"/>
    </xf>
    <xf numFmtId="0" fontId="39" fillId="0" borderId="0" xfId="0" applyFont="1">
      <alignment vertical="center"/>
    </xf>
    <xf numFmtId="0" fontId="40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center" vertical="center"/>
    </xf>
    <xf numFmtId="38" fontId="39" fillId="0" borderId="1" xfId="0" applyNumberFormat="1" applyFont="1" applyBorder="1" applyAlignment="1">
      <alignment horizontal="center" vertical="center"/>
    </xf>
    <xf numFmtId="38" fontId="39" fillId="0" borderId="2" xfId="0" applyNumberFormat="1" applyFont="1" applyBorder="1" applyAlignment="1">
      <alignment horizontal="center" vertical="center" shrinkToFit="1"/>
    </xf>
    <xf numFmtId="38" fontId="39" fillId="0" borderId="1" xfId="0" applyNumberFormat="1" applyFont="1" applyBorder="1" applyAlignment="1">
      <alignment horizontal="center" vertical="center" shrinkToFit="1"/>
    </xf>
    <xf numFmtId="38" fontId="39" fillId="0" borderId="3" xfId="0" applyNumberFormat="1" applyFont="1" applyBorder="1" applyAlignment="1">
      <alignment horizontal="center" vertical="center" shrinkToFit="1"/>
    </xf>
    <xf numFmtId="178" fontId="41" fillId="0" borderId="1" xfId="0" applyNumberFormat="1" applyFont="1" applyBorder="1" applyAlignment="1">
      <alignment horizontal="center" vertical="center" wrapText="1"/>
    </xf>
    <xf numFmtId="3" fontId="41" fillId="0" borderId="1" xfId="0" applyNumberFormat="1" applyFont="1" applyBorder="1" applyAlignment="1">
      <alignment horizontal="center" vertical="center" wrapText="1"/>
    </xf>
    <xf numFmtId="38" fontId="39" fillId="0" borderId="1" xfId="0" applyNumberFormat="1" applyFont="1" applyBorder="1" applyAlignment="1">
      <alignment horizontal="center" vertical="center" wrapText="1" shrinkToFit="1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left" vertical="center" shrinkToFit="1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shrinkToFit="1"/>
    </xf>
    <xf numFmtId="0" fontId="40" fillId="0" borderId="1" xfId="0" applyFont="1" applyBorder="1" applyAlignment="1">
      <alignment horizontal="left" vertical="center" shrinkToFit="1"/>
    </xf>
    <xf numFmtId="38" fontId="40" fillId="0" borderId="1" xfId="0" applyNumberFormat="1" applyFont="1" applyBorder="1" applyAlignment="1">
      <alignment horizontal="center" vertical="center"/>
    </xf>
    <xf numFmtId="38" fontId="40" fillId="0" borderId="2" xfId="0" applyNumberFormat="1" applyFont="1" applyBorder="1" applyAlignment="1">
      <alignment horizontal="center" vertical="center" shrinkToFit="1"/>
    </xf>
    <xf numFmtId="38" fontId="40" fillId="0" borderId="1" xfId="0" applyNumberFormat="1" applyFont="1" applyBorder="1" applyAlignment="1">
      <alignment horizontal="center" vertical="center" shrinkToFit="1"/>
    </xf>
    <xf numFmtId="38" fontId="40" fillId="0" borderId="3" xfId="0" applyNumberFormat="1" applyFont="1" applyBorder="1" applyAlignment="1">
      <alignment horizontal="center" vertical="center" shrinkToFit="1"/>
    </xf>
    <xf numFmtId="178" fontId="44" fillId="0" borderId="1" xfId="0" applyNumberFormat="1" applyFont="1" applyBorder="1" applyAlignment="1">
      <alignment horizontal="center" vertical="center" wrapText="1"/>
    </xf>
    <xf numFmtId="3" fontId="44" fillId="0" borderId="1" xfId="0" applyNumberFormat="1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 shrinkToFit="1"/>
    </xf>
    <xf numFmtId="0" fontId="40" fillId="0" borderId="0" xfId="0" applyFont="1">
      <alignment vertical="center"/>
    </xf>
    <xf numFmtId="0" fontId="40" fillId="0" borderId="2" xfId="0" applyFont="1" applyBorder="1" applyAlignment="1">
      <alignment horizontal="center" vertical="center" shrinkToFit="1"/>
    </xf>
    <xf numFmtId="0" fontId="40" fillId="0" borderId="3" xfId="0" applyFont="1" applyBorder="1" applyAlignment="1">
      <alignment horizontal="center" vertical="center" shrinkToFit="1"/>
    </xf>
    <xf numFmtId="178" fontId="44" fillId="0" borderId="1" xfId="0" applyNumberFormat="1" applyFont="1" applyBorder="1" applyAlignment="1">
      <alignment horizontal="center" vertical="center" wrapText="1" shrinkToFit="1"/>
    </xf>
    <xf numFmtId="3" fontId="44" fillId="0" borderId="1" xfId="0" applyNumberFormat="1" applyFont="1" applyBorder="1" applyAlignment="1">
      <alignment horizontal="center" vertical="center" wrapText="1" shrinkToFit="1"/>
    </xf>
    <xf numFmtId="177" fontId="40" fillId="0" borderId="1" xfId="0" applyNumberFormat="1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177" fontId="39" fillId="0" borderId="1" xfId="0" applyNumberFormat="1" applyFont="1" applyBorder="1" applyAlignment="1">
      <alignment horizontal="center" vertical="center"/>
    </xf>
    <xf numFmtId="17" fontId="40" fillId="0" borderId="1" xfId="0" quotePrefix="1" applyNumberFormat="1" applyFont="1" applyBorder="1" applyAlignment="1">
      <alignment horizontal="center" vertical="center" wrapText="1" shrinkToFit="1"/>
    </xf>
    <xf numFmtId="0" fontId="39" fillId="0" borderId="1" xfId="0" applyFont="1" applyBorder="1" applyAlignment="1">
      <alignment horizontal="left" vertical="center" shrinkToFit="1"/>
    </xf>
    <xf numFmtId="178" fontId="40" fillId="0" borderId="1" xfId="0" applyNumberFormat="1" applyFont="1" applyBorder="1" applyAlignment="1">
      <alignment horizontal="center" vertical="center" wrapText="1"/>
    </xf>
    <xf numFmtId="178" fontId="39" fillId="0" borderId="1" xfId="0" applyNumberFormat="1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shrinkToFit="1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center" shrinkToFit="1"/>
    </xf>
    <xf numFmtId="178" fontId="39" fillId="0" borderId="0" xfId="0" applyNumberFormat="1" applyFont="1" applyAlignment="1">
      <alignment horizontal="center" vertical="center" wrapText="1"/>
    </xf>
    <xf numFmtId="3" fontId="39" fillId="0" borderId="0" xfId="0" applyNumberFormat="1" applyFont="1" applyAlignment="1">
      <alignment vertical="center" wrapText="1"/>
    </xf>
    <xf numFmtId="0" fontId="46" fillId="3" borderId="0" xfId="0" applyFont="1" applyFill="1">
      <alignment vertical="center"/>
    </xf>
    <xf numFmtId="0" fontId="47" fillId="3" borderId="1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 shrinkToFit="1"/>
    </xf>
    <xf numFmtId="0" fontId="47" fillId="3" borderId="1" xfId="0" applyFont="1" applyFill="1" applyBorder="1" applyAlignment="1">
      <alignment horizontal="center" vertical="center" shrinkToFit="1"/>
    </xf>
    <xf numFmtId="38" fontId="48" fillId="3" borderId="1" xfId="0" applyNumberFormat="1" applyFont="1" applyFill="1" applyBorder="1" applyAlignment="1">
      <alignment horizontal="center" vertical="center" wrapText="1"/>
    </xf>
    <xf numFmtId="38" fontId="47" fillId="3" borderId="1" xfId="0" applyNumberFormat="1" applyFont="1" applyFill="1" applyBorder="1" applyAlignment="1">
      <alignment horizontal="center" vertical="center" wrapText="1" shrinkToFit="1"/>
    </xf>
    <xf numFmtId="0" fontId="47" fillId="3" borderId="0" xfId="0" applyFont="1" applyFill="1">
      <alignment vertical="center"/>
    </xf>
    <xf numFmtId="0" fontId="49" fillId="3" borderId="1" xfId="0" applyFont="1" applyFill="1" applyBorder="1" applyAlignment="1">
      <alignment horizontal="center" vertical="center"/>
    </xf>
    <xf numFmtId="0" fontId="49" fillId="3" borderId="1" xfId="0" applyFont="1" applyFill="1" applyBorder="1" applyAlignment="1">
      <alignment horizontal="left" vertical="center" shrinkToFit="1"/>
    </xf>
    <xf numFmtId="0" fontId="48" fillId="3" borderId="1" xfId="0" applyFont="1" applyFill="1" applyBorder="1" applyAlignment="1">
      <alignment horizontal="center" vertical="center" wrapText="1" shrinkToFit="1"/>
    </xf>
    <xf numFmtId="0" fontId="49" fillId="3" borderId="1" xfId="0" applyFont="1" applyFill="1" applyBorder="1" applyAlignment="1">
      <alignment horizontal="center" vertical="center" wrapText="1"/>
    </xf>
    <xf numFmtId="0" fontId="50" fillId="3" borderId="0" xfId="0" applyFont="1" applyFill="1">
      <alignment vertical="center"/>
    </xf>
    <xf numFmtId="0" fontId="49" fillId="3" borderId="1" xfId="0" applyFont="1" applyFill="1" applyBorder="1" applyAlignment="1">
      <alignment horizontal="center" vertical="center" wrapText="1" shrinkToFit="1"/>
    </xf>
    <xf numFmtId="0" fontId="48" fillId="3" borderId="1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/>
    </xf>
    <xf numFmtId="0" fontId="51" fillId="3" borderId="1" xfId="0" applyFont="1" applyFill="1" applyBorder="1" applyAlignment="1">
      <alignment horizontal="center" vertical="center" shrinkToFit="1"/>
    </xf>
    <xf numFmtId="0" fontId="49" fillId="0" borderId="1" xfId="0" applyFont="1" applyBorder="1" applyAlignment="1">
      <alignment horizontal="left" vertical="center" shrinkToFit="1"/>
    </xf>
    <xf numFmtId="0" fontId="49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 shrinkToFit="1"/>
    </xf>
    <xf numFmtId="0" fontId="49" fillId="3" borderId="1" xfId="0" applyFont="1" applyFill="1" applyBorder="1" applyAlignment="1">
      <alignment horizontal="center" vertical="center" shrinkToFit="1"/>
    </xf>
    <xf numFmtId="0" fontId="49" fillId="0" borderId="1" xfId="0" applyFont="1" applyBorder="1" applyAlignment="1">
      <alignment horizontal="center" vertical="center" shrinkToFit="1"/>
    </xf>
    <xf numFmtId="0" fontId="52" fillId="0" borderId="1" xfId="0" applyFont="1" applyBorder="1" applyAlignment="1">
      <alignment horizontal="left" vertical="center" shrinkToFit="1"/>
    </xf>
    <xf numFmtId="0" fontId="47" fillId="3" borderId="1" xfId="0" applyFont="1" applyFill="1" applyBorder="1" applyAlignment="1">
      <alignment horizontal="center" vertical="center" wrapText="1" shrinkToFit="1"/>
    </xf>
    <xf numFmtId="0" fontId="49" fillId="3" borderId="1" xfId="0" applyFont="1" applyFill="1" applyBorder="1">
      <alignment vertical="center"/>
    </xf>
    <xf numFmtId="0" fontId="47" fillId="3" borderId="1" xfId="0" applyFont="1" applyFill="1" applyBorder="1" applyAlignment="1">
      <alignment horizontal="left" vertical="center" shrinkToFit="1"/>
    </xf>
    <xf numFmtId="0" fontId="50" fillId="0" borderId="1" xfId="0" applyFont="1" applyBorder="1" applyAlignment="1">
      <alignment horizontal="center" vertical="center" shrinkToFit="1"/>
    </xf>
    <xf numFmtId="0" fontId="49" fillId="0" borderId="1" xfId="0" quotePrefix="1" applyFont="1" applyBorder="1" applyAlignment="1">
      <alignment horizontal="center" vertical="center" wrapText="1" shrinkToFit="1"/>
    </xf>
    <xf numFmtId="0" fontId="47" fillId="3" borderId="0" xfId="0" applyFont="1" applyFill="1" applyAlignment="1">
      <alignment horizontal="center" vertical="center"/>
    </xf>
    <xf numFmtId="0" fontId="48" fillId="3" borderId="0" xfId="0" applyFont="1" applyFill="1" applyAlignment="1">
      <alignment horizontal="center" vertical="center" shrinkToFit="1"/>
    </xf>
    <xf numFmtId="0" fontId="47" fillId="3" borderId="0" xfId="0" applyFont="1" applyFill="1" applyAlignment="1">
      <alignment horizontal="left" vertical="center" shrinkToFit="1"/>
    </xf>
    <xf numFmtId="176" fontId="47" fillId="3" borderId="0" xfId="0" applyNumberFormat="1" applyFont="1" applyFill="1">
      <alignment vertical="center"/>
    </xf>
    <xf numFmtId="3" fontId="48" fillId="3" borderId="0" xfId="0" applyNumberFormat="1" applyFont="1" applyFill="1">
      <alignment vertical="center"/>
    </xf>
    <xf numFmtId="0" fontId="48" fillId="3" borderId="0" xfId="0" applyFont="1" applyFill="1" applyAlignment="1">
      <alignment vertical="center" wrapText="1"/>
    </xf>
    <xf numFmtId="0" fontId="49" fillId="3" borderId="0" xfId="0" applyFont="1" applyFill="1" applyAlignment="1">
      <alignment vertical="center" wrapText="1"/>
    </xf>
    <xf numFmtId="0" fontId="47" fillId="3" borderId="0" xfId="0" applyFont="1" applyFill="1" applyAlignment="1">
      <alignment horizontal="center" vertical="center" wrapText="1"/>
    </xf>
    <xf numFmtId="0" fontId="47" fillId="3" borderId="1" xfId="0" applyFont="1" applyFill="1" applyBorder="1">
      <alignment vertical="center"/>
    </xf>
    <xf numFmtId="0" fontId="47" fillId="3" borderId="1" xfId="0" applyFont="1" applyFill="1" applyBorder="1" applyAlignment="1">
      <alignment horizontal="center" vertical="center" wrapText="1"/>
    </xf>
    <xf numFmtId="3" fontId="39" fillId="0" borderId="1" xfId="0" applyNumberFormat="1" applyFont="1" applyBorder="1" applyAlignment="1">
      <alignment horizontal="center" vertical="center" wrapText="1" shrinkToFit="1"/>
    </xf>
    <xf numFmtId="0" fontId="51" fillId="0" borderId="1" xfId="0" applyFont="1" applyBorder="1" applyAlignment="1">
      <alignment horizontal="center" vertical="center" shrinkToFit="1"/>
    </xf>
    <xf numFmtId="0" fontId="53" fillId="0" borderId="1" xfId="0" applyFont="1" applyBorder="1" applyAlignment="1">
      <alignment horizontal="center" vertical="center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shrinkToFit="1"/>
    </xf>
    <xf numFmtId="38" fontId="48" fillId="3" borderId="1" xfId="0" applyNumberFormat="1" applyFont="1" applyFill="1" applyBorder="1" applyAlignment="1">
      <alignment horizontal="center" vertical="center" shrinkToFit="1"/>
    </xf>
    <xf numFmtId="0" fontId="49" fillId="0" borderId="1" xfId="0" applyFont="1" applyBorder="1">
      <alignment vertical="center"/>
    </xf>
    <xf numFmtId="0" fontId="48" fillId="3" borderId="3" xfId="0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shrinkToFit="1"/>
    </xf>
    <xf numFmtId="0" fontId="54" fillId="0" borderId="1" xfId="0" applyFont="1" applyBorder="1" applyAlignment="1">
      <alignment horizontal="left" vertical="center" shrinkToFit="1"/>
    </xf>
    <xf numFmtId="177" fontId="54" fillId="0" borderId="1" xfId="0" applyNumberFormat="1" applyFont="1" applyBorder="1" applyAlignment="1">
      <alignment horizontal="center" vertical="center"/>
    </xf>
    <xf numFmtId="178" fontId="55" fillId="0" borderId="1" xfId="0" applyNumberFormat="1" applyFont="1" applyBorder="1" applyAlignment="1">
      <alignment horizontal="center" vertical="center" wrapText="1" shrinkToFit="1"/>
    </xf>
    <xf numFmtId="3" fontId="55" fillId="0" borderId="1" xfId="0" applyNumberFormat="1" applyFont="1" applyBorder="1" applyAlignment="1">
      <alignment horizontal="center" vertical="center" wrapText="1" shrinkToFit="1"/>
    </xf>
    <xf numFmtId="0" fontId="54" fillId="0" borderId="1" xfId="0" applyFont="1" applyBorder="1" applyAlignment="1">
      <alignment horizontal="center" vertical="center" wrapText="1" shrinkToFit="1"/>
    </xf>
    <xf numFmtId="180" fontId="7" fillId="2" borderId="0" xfId="0" applyNumberFormat="1" applyFont="1" applyFill="1" applyAlignment="1">
      <alignment horizontal="left" vertical="center"/>
    </xf>
    <xf numFmtId="0" fontId="40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shrinkToFit="1"/>
    </xf>
    <xf numFmtId="0" fontId="40" fillId="4" borderId="1" xfId="0" applyFont="1" applyFill="1" applyBorder="1" applyAlignment="1">
      <alignment horizontal="left" vertical="center" shrinkToFit="1"/>
    </xf>
    <xf numFmtId="177" fontId="40" fillId="4" borderId="1" xfId="0" applyNumberFormat="1" applyFont="1" applyFill="1" applyBorder="1" applyAlignment="1">
      <alignment horizontal="center" vertical="center"/>
    </xf>
    <xf numFmtId="178" fontId="40" fillId="4" borderId="1" xfId="0" applyNumberFormat="1" applyFont="1" applyFill="1" applyBorder="1" applyAlignment="1">
      <alignment horizontal="center" vertical="center" wrapText="1"/>
    </xf>
    <xf numFmtId="3" fontId="44" fillId="4" borderId="1" xfId="0" applyNumberFormat="1" applyFont="1" applyFill="1" applyBorder="1" applyAlignment="1">
      <alignment horizontal="center" vertical="center" wrapText="1" shrinkToFit="1"/>
    </xf>
    <xf numFmtId="0" fontId="47" fillId="5" borderId="0" xfId="0" applyFont="1" applyFill="1">
      <alignment vertical="center"/>
    </xf>
    <xf numFmtId="0" fontId="48" fillId="4" borderId="1" xfId="0" applyFont="1" applyFill="1" applyBorder="1" applyAlignment="1">
      <alignment horizontal="center" vertical="center" shrinkToFit="1"/>
    </xf>
    <xf numFmtId="176" fontId="39" fillId="0" borderId="1" xfId="0" applyNumberFormat="1" applyFont="1" applyBorder="1" applyAlignment="1">
      <alignment horizontal="right" vertical="center"/>
    </xf>
    <xf numFmtId="176" fontId="37" fillId="0" borderId="1" xfId="0" applyNumberFormat="1" applyFont="1" applyBorder="1" applyAlignment="1">
      <alignment horizontal="right" vertical="center"/>
    </xf>
    <xf numFmtId="176" fontId="40" fillId="0" borderId="1" xfId="0" applyNumberFormat="1" applyFont="1" applyBorder="1" applyAlignment="1">
      <alignment horizontal="right" vertical="center"/>
    </xf>
    <xf numFmtId="176" fontId="54" fillId="0" borderId="1" xfId="0" applyNumberFormat="1" applyFont="1" applyBorder="1" applyAlignment="1">
      <alignment horizontal="right" vertical="center"/>
    </xf>
    <xf numFmtId="176" fontId="40" fillId="4" borderId="1" xfId="0" applyNumberFormat="1" applyFont="1" applyFill="1" applyBorder="1" applyAlignment="1">
      <alignment horizontal="right" vertical="center"/>
    </xf>
    <xf numFmtId="176" fontId="39" fillId="0" borderId="0" xfId="0" applyNumberFormat="1" applyFont="1" applyAlignment="1">
      <alignment horizontal="right" vertical="center"/>
    </xf>
    <xf numFmtId="176" fontId="39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left" vertical="center" wrapText="1"/>
    </xf>
    <xf numFmtId="177" fontId="37" fillId="0" borderId="1" xfId="0" applyNumberFormat="1" applyFont="1" applyBorder="1" applyAlignment="1">
      <alignment horizontal="center" vertical="center"/>
    </xf>
    <xf numFmtId="0" fontId="37" fillId="0" borderId="0" xfId="0" applyFont="1">
      <alignment vertical="center"/>
    </xf>
    <xf numFmtId="0" fontId="51" fillId="3" borderId="0" xfId="0" applyFont="1" applyFill="1" applyAlignment="1">
      <alignment horizontal="center" vertical="center" shrinkToFit="1"/>
    </xf>
    <xf numFmtId="0" fontId="37" fillId="0" borderId="1" xfId="0" applyFont="1" applyBorder="1" applyAlignment="1">
      <alignment horizontal="left" vertical="center" shrinkToFit="1"/>
    </xf>
    <xf numFmtId="38" fontId="37" fillId="0" borderId="2" xfId="0" applyNumberFormat="1" applyFont="1" applyBorder="1" applyAlignment="1">
      <alignment horizontal="center" vertical="center" shrinkToFit="1"/>
    </xf>
    <xf numFmtId="38" fontId="54" fillId="0" borderId="2" xfId="0" applyNumberFormat="1" applyFont="1" applyBorder="1" applyAlignment="1">
      <alignment horizontal="center" vertical="center" shrinkToFit="1"/>
    </xf>
    <xf numFmtId="0" fontId="54" fillId="0" borderId="0" xfId="0" applyFont="1">
      <alignment vertical="center"/>
    </xf>
    <xf numFmtId="0" fontId="39" fillId="0" borderId="1" xfId="0" applyFont="1" applyBorder="1" applyAlignment="1">
      <alignment horizontal="center" vertical="center" wrapText="1" shrinkToFit="1"/>
    </xf>
    <xf numFmtId="0" fontId="39" fillId="0" borderId="1" xfId="0" applyFont="1" applyBorder="1" applyAlignment="1">
      <alignment horizontal="left" vertical="center" wrapText="1"/>
    </xf>
    <xf numFmtId="0" fontId="40" fillId="5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 shrinkToFit="1"/>
    </xf>
    <xf numFmtId="0" fontId="40" fillId="5" borderId="1" xfId="0" applyFont="1" applyFill="1" applyBorder="1" applyAlignment="1">
      <alignment horizontal="left" vertical="center" shrinkToFit="1"/>
    </xf>
    <xf numFmtId="177" fontId="40" fillId="5" borderId="1" xfId="0" applyNumberFormat="1" applyFont="1" applyFill="1" applyBorder="1" applyAlignment="1">
      <alignment horizontal="center" vertical="center"/>
    </xf>
    <xf numFmtId="0" fontId="40" fillId="5" borderId="0" xfId="0" applyFont="1" applyFill="1">
      <alignment vertical="center"/>
    </xf>
    <xf numFmtId="176" fontId="40" fillId="5" borderId="1" xfId="0" applyNumberFormat="1" applyFont="1" applyFill="1" applyBorder="1" applyAlignment="1">
      <alignment horizontal="right" vertical="center"/>
    </xf>
    <xf numFmtId="3" fontId="40" fillId="5" borderId="1" xfId="0" applyNumberFormat="1" applyFont="1" applyFill="1" applyBorder="1" applyAlignment="1">
      <alignment horizontal="center" vertical="center" wrapText="1"/>
    </xf>
    <xf numFmtId="38" fontId="37" fillId="0" borderId="2" xfId="0" applyNumberFormat="1" applyFont="1" applyBorder="1" applyAlignment="1">
      <alignment horizontal="left" vertical="center" shrinkToFit="1"/>
    </xf>
    <xf numFmtId="17" fontId="40" fillId="5" borderId="1" xfId="0" applyNumberFormat="1" applyFont="1" applyFill="1" applyBorder="1" applyAlignment="1">
      <alignment horizontal="center" vertical="center" wrapText="1" shrinkToFit="1"/>
    </xf>
    <xf numFmtId="38" fontId="37" fillId="0" borderId="1" xfId="0" applyNumberFormat="1" applyFont="1" applyBorder="1" applyAlignment="1">
      <alignment horizontal="center" vertical="center"/>
    </xf>
    <xf numFmtId="176" fontId="37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left" vertical="center" wrapText="1"/>
    </xf>
    <xf numFmtId="0" fontId="37" fillId="5" borderId="1" xfId="0" applyFont="1" applyFill="1" applyBorder="1" applyAlignment="1">
      <alignment horizontal="center" vertical="center" shrinkToFit="1"/>
    </xf>
    <xf numFmtId="0" fontId="37" fillId="5" borderId="1" xfId="0" applyFont="1" applyFill="1" applyBorder="1" applyAlignment="1">
      <alignment horizontal="center" vertical="center"/>
    </xf>
    <xf numFmtId="177" fontId="37" fillId="5" borderId="1" xfId="0" applyNumberFormat="1" applyFont="1" applyFill="1" applyBorder="1" applyAlignment="1">
      <alignment horizontal="center" vertical="center"/>
    </xf>
    <xf numFmtId="0" fontId="37" fillId="5" borderId="0" xfId="0" applyFont="1" applyFill="1">
      <alignment vertical="center"/>
    </xf>
    <xf numFmtId="0" fontId="37" fillId="0" borderId="1" xfId="0" applyFont="1" applyBorder="1" applyAlignment="1">
      <alignment vertical="center" wrapText="1"/>
    </xf>
    <xf numFmtId="0" fontId="37" fillId="5" borderId="1" xfId="0" applyFont="1" applyFill="1" applyBorder="1" applyAlignment="1">
      <alignment horizontal="left" vertical="center" shrinkToFit="1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left" vertical="center" shrinkToFit="1"/>
    </xf>
    <xf numFmtId="177" fontId="37" fillId="0" borderId="0" xfId="0" applyNumberFormat="1" applyFont="1" applyAlignment="1">
      <alignment horizontal="center" vertical="center"/>
    </xf>
    <xf numFmtId="176" fontId="37" fillId="0" borderId="0" xfId="0" applyNumberFormat="1" applyFont="1" applyAlignment="1">
      <alignment horizontal="right" vertical="center"/>
    </xf>
    <xf numFmtId="17" fontId="37" fillId="0" borderId="1" xfId="0" applyNumberFormat="1" applyFont="1" applyBorder="1" applyAlignment="1">
      <alignment horizontal="center" vertical="center"/>
    </xf>
    <xf numFmtId="176" fontId="56" fillId="0" borderId="1" xfId="0" applyNumberFormat="1" applyFont="1" applyBorder="1" applyAlignment="1">
      <alignment horizontal="right" vertical="center"/>
    </xf>
    <xf numFmtId="0" fontId="39" fillId="5" borderId="1" xfId="0" applyFont="1" applyFill="1" applyBorder="1" applyAlignment="1">
      <alignment horizontal="center" vertical="center" wrapText="1"/>
    </xf>
    <xf numFmtId="176" fontId="39" fillId="5" borderId="1" xfId="0" applyNumberFormat="1" applyFont="1" applyFill="1" applyBorder="1" applyAlignment="1">
      <alignment horizontal="right" vertical="center"/>
    </xf>
    <xf numFmtId="3" fontId="45" fillId="5" borderId="1" xfId="0" applyNumberFormat="1" applyFont="1" applyFill="1" applyBorder="1" applyAlignment="1">
      <alignment horizontal="center" vertical="center" wrapText="1" shrinkToFit="1"/>
    </xf>
    <xf numFmtId="0" fontId="39" fillId="5" borderId="1" xfId="0" applyFont="1" applyFill="1" applyBorder="1" applyAlignment="1">
      <alignment horizontal="center" vertical="center"/>
    </xf>
    <xf numFmtId="38" fontId="39" fillId="5" borderId="1" xfId="0" applyNumberFormat="1" applyFont="1" applyFill="1" applyBorder="1" applyAlignment="1">
      <alignment horizontal="center" vertical="center" shrinkToFit="1"/>
    </xf>
    <xf numFmtId="0" fontId="39" fillId="5" borderId="0" xfId="0" applyFont="1" applyFill="1">
      <alignment vertical="center"/>
    </xf>
    <xf numFmtId="0" fontId="40" fillId="6" borderId="1" xfId="0" applyFont="1" applyFill="1" applyBorder="1" applyAlignment="1">
      <alignment horizontal="center" vertical="center"/>
    </xf>
    <xf numFmtId="0" fontId="40" fillId="6" borderId="1" xfId="0" applyFont="1" applyFill="1" applyBorder="1" applyAlignment="1">
      <alignment horizontal="center" vertical="center" wrapText="1"/>
    </xf>
    <xf numFmtId="0" fontId="40" fillId="6" borderId="1" xfId="0" applyFont="1" applyFill="1" applyBorder="1" applyAlignment="1">
      <alignment horizontal="center" vertical="center" shrinkToFit="1"/>
    </xf>
    <xf numFmtId="0" fontId="40" fillId="6" borderId="1" xfId="0" applyFont="1" applyFill="1" applyBorder="1" applyAlignment="1">
      <alignment horizontal="left" vertical="center" shrinkToFit="1"/>
    </xf>
    <xf numFmtId="176" fontId="40" fillId="6" borderId="1" xfId="0" applyNumberFormat="1" applyFont="1" applyFill="1" applyBorder="1" applyAlignment="1">
      <alignment horizontal="right" vertical="center"/>
    </xf>
    <xf numFmtId="0" fontId="40" fillId="6" borderId="2" xfId="0" applyFont="1" applyFill="1" applyBorder="1" applyAlignment="1">
      <alignment horizontal="center" vertical="center" shrinkToFit="1"/>
    </xf>
    <xf numFmtId="0" fontId="40" fillId="6" borderId="3" xfId="0" applyFont="1" applyFill="1" applyBorder="1" applyAlignment="1">
      <alignment horizontal="center" vertical="center" shrinkToFit="1"/>
    </xf>
    <xf numFmtId="0" fontId="40" fillId="6" borderId="0" xfId="0" applyFont="1" applyFill="1">
      <alignment vertical="center"/>
    </xf>
    <xf numFmtId="178" fontId="40" fillId="6" borderId="1" xfId="0" applyNumberFormat="1" applyFont="1" applyFill="1" applyBorder="1" applyAlignment="1">
      <alignment horizontal="center" vertical="center" wrapText="1" shrinkToFit="1"/>
    </xf>
    <xf numFmtId="3" fontId="40" fillId="6" borderId="1" xfId="0" applyNumberFormat="1" applyFont="1" applyFill="1" applyBorder="1" applyAlignment="1">
      <alignment horizontal="center" vertical="center" wrapText="1" shrinkToFit="1"/>
    </xf>
    <xf numFmtId="38" fontId="37" fillId="6" borderId="2" xfId="0" applyNumberFormat="1" applyFont="1" applyFill="1" applyBorder="1" applyAlignment="1">
      <alignment horizontal="center" vertical="center" shrinkToFit="1"/>
    </xf>
    <xf numFmtId="38" fontId="37" fillId="6" borderId="2" xfId="0" applyNumberFormat="1" applyFont="1" applyFill="1" applyBorder="1" applyAlignment="1">
      <alignment horizontal="left" vertical="center" shrinkToFit="1"/>
    </xf>
    <xf numFmtId="176" fontId="37" fillId="6" borderId="1" xfId="0" applyNumberFormat="1" applyFont="1" applyFill="1" applyBorder="1" applyAlignment="1">
      <alignment horizontal="right" vertical="center"/>
    </xf>
    <xf numFmtId="0" fontId="37" fillId="6" borderId="0" xfId="0" applyFont="1" applyFill="1">
      <alignment vertical="center"/>
    </xf>
    <xf numFmtId="0" fontId="39" fillId="5" borderId="1" xfId="0" applyFont="1" applyFill="1" applyBorder="1" applyAlignment="1">
      <alignment horizontal="center" vertical="center" shrinkToFit="1"/>
    </xf>
    <xf numFmtId="38" fontId="39" fillId="5" borderId="1" xfId="0" applyNumberFormat="1" applyFont="1" applyFill="1" applyBorder="1" applyAlignment="1">
      <alignment horizontal="center" vertical="center"/>
    </xf>
    <xf numFmtId="178" fontId="45" fillId="5" borderId="1" xfId="0" applyNumberFormat="1" applyFont="1" applyFill="1" applyBorder="1" applyAlignment="1">
      <alignment horizontal="center" vertical="center" wrapText="1"/>
    </xf>
    <xf numFmtId="3" fontId="45" fillId="5" borderId="1" xfId="0" applyNumberFormat="1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 wrapText="1" shrinkToFit="1"/>
    </xf>
    <xf numFmtId="177" fontId="39" fillId="5" borderId="1" xfId="0" applyNumberFormat="1" applyFont="1" applyFill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5" borderId="1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left" vertical="center" shrinkToFit="1"/>
    </xf>
    <xf numFmtId="0" fontId="39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shrinkToFit="1"/>
    </xf>
    <xf numFmtId="0" fontId="39" fillId="4" borderId="1" xfId="0" applyFont="1" applyFill="1" applyBorder="1" applyAlignment="1">
      <alignment horizontal="left" vertical="center" shrinkToFit="1"/>
    </xf>
    <xf numFmtId="176" fontId="39" fillId="4" borderId="1" xfId="0" applyNumberFormat="1" applyFont="1" applyFill="1" applyBorder="1" applyAlignment="1">
      <alignment horizontal="right" vertical="center"/>
    </xf>
    <xf numFmtId="178" fontId="39" fillId="4" borderId="1" xfId="0" applyNumberFormat="1" applyFont="1" applyFill="1" applyBorder="1" applyAlignment="1">
      <alignment horizontal="center" vertical="center" wrapText="1" shrinkToFit="1"/>
    </xf>
    <xf numFmtId="3" fontId="39" fillId="4" borderId="1" xfId="0" applyNumberFormat="1" applyFont="1" applyFill="1" applyBorder="1" applyAlignment="1">
      <alignment horizontal="center" vertical="center" wrapText="1" shrinkToFit="1"/>
    </xf>
    <xf numFmtId="0" fontId="39" fillId="0" borderId="1" xfId="0" quotePrefix="1" applyFont="1" applyBorder="1" applyAlignment="1">
      <alignment horizontal="center" vertical="center" wrapText="1"/>
    </xf>
    <xf numFmtId="3" fontId="39" fillId="5" borderId="1" xfId="0" applyNumberFormat="1" applyFont="1" applyFill="1" applyBorder="1" applyAlignment="1">
      <alignment horizontal="center" vertical="center" wrapText="1" shrinkToFit="1"/>
    </xf>
    <xf numFmtId="178" fontId="39" fillId="5" borderId="1" xfId="0" applyNumberFormat="1" applyFont="1" applyFill="1" applyBorder="1" applyAlignment="1">
      <alignment horizontal="center" vertical="center" wrapText="1"/>
    </xf>
    <xf numFmtId="38" fontId="39" fillId="5" borderId="2" xfId="0" applyNumberFormat="1" applyFont="1" applyFill="1" applyBorder="1" applyAlignment="1">
      <alignment horizontal="center" vertical="center" shrinkToFit="1"/>
    </xf>
    <xf numFmtId="0" fontId="47" fillId="7" borderId="1" xfId="0" applyFont="1" applyFill="1" applyBorder="1" applyAlignment="1">
      <alignment horizontal="center" vertical="center"/>
    </xf>
    <xf numFmtId="0" fontId="48" fillId="7" borderId="1" xfId="0" applyFont="1" applyFill="1" applyBorder="1" applyAlignment="1">
      <alignment horizontal="center" vertical="center" shrinkToFit="1"/>
    </xf>
    <xf numFmtId="0" fontId="47" fillId="7" borderId="0" xfId="0" applyFont="1" applyFill="1">
      <alignment vertical="center"/>
    </xf>
    <xf numFmtId="0" fontId="59" fillId="7" borderId="0" xfId="0" applyFont="1" applyFill="1">
      <alignment vertical="center"/>
    </xf>
    <xf numFmtId="0" fontId="49" fillId="7" borderId="1" xfId="0" applyFont="1" applyFill="1" applyBorder="1" applyAlignment="1">
      <alignment horizontal="center" vertical="center"/>
    </xf>
    <xf numFmtId="0" fontId="49" fillId="7" borderId="1" xfId="0" applyFont="1" applyFill="1" applyBorder="1" applyAlignment="1">
      <alignment horizontal="left" vertical="center" shrinkToFit="1"/>
    </xf>
    <xf numFmtId="38" fontId="49" fillId="7" borderId="1" xfId="0" applyNumberFormat="1" applyFont="1" applyFill="1" applyBorder="1" applyAlignment="1">
      <alignment horizontal="center" vertical="center"/>
    </xf>
    <xf numFmtId="176" fontId="49" fillId="7" borderId="1" xfId="0" applyNumberFormat="1" applyFont="1" applyFill="1" applyBorder="1">
      <alignment vertical="center"/>
    </xf>
    <xf numFmtId="3" fontId="48" fillId="7" borderId="1" xfId="0" applyNumberFormat="1" applyFont="1" applyFill="1" applyBorder="1">
      <alignment vertical="center"/>
    </xf>
    <xf numFmtId="0" fontId="48" fillId="7" borderId="1" xfId="0" applyFont="1" applyFill="1" applyBorder="1" applyAlignment="1">
      <alignment horizontal="center" vertical="center" wrapText="1" shrinkToFit="1"/>
    </xf>
    <xf numFmtId="178" fontId="49" fillId="7" borderId="1" xfId="0" applyNumberFormat="1" applyFont="1" applyFill="1" applyBorder="1" applyAlignment="1">
      <alignment horizontal="center" vertical="center"/>
    </xf>
    <xf numFmtId="3" fontId="49" fillId="7" borderId="1" xfId="0" applyNumberFormat="1" applyFont="1" applyFill="1" applyBorder="1" applyAlignment="1">
      <alignment horizontal="center" vertical="center"/>
    </xf>
    <xf numFmtId="0" fontId="49" fillId="7" borderId="1" xfId="0" applyFont="1" applyFill="1" applyBorder="1" applyAlignment="1">
      <alignment horizontal="center" vertical="center" wrapText="1"/>
    </xf>
    <xf numFmtId="0" fontId="50" fillId="7" borderId="0" xfId="0" applyFont="1" applyFill="1">
      <alignment vertical="center"/>
    </xf>
    <xf numFmtId="178" fontId="49" fillId="7" borderId="1" xfId="0" applyNumberFormat="1" applyFont="1" applyFill="1" applyBorder="1" applyAlignment="1">
      <alignment horizontal="center" vertical="center" wrapText="1"/>
    </xf>
    <xf numFmtId="3" fontId="49" fillId="7" borderId="1" xfId="0" applyNumberFormat="1" applyFont="1" applyFill="1" applyBorder="1" applyAlignment="1">
      <alignment horizontal="center" vertical="center" wrapText="1"/>
    </xf>
    <xf numFmtId="0" fontId="49" fillId="7" borderId="0" xfId="0" applyFont="1" applyFill="1">
      <alignment vertical="center"/>
    </xf>
    <xf numFmtId="178" fontId="60" fillId="7" borderId="1" xfId="0" applyNumberFormat="1" applyFont="1" applyFill="1" applyBorder="1" applyAlignment="1">
      <alignment horizontal="center" vertical="center" wrapText="1"/>
    </xf>
    <xf numFmtId="176" fontId="49" fillId="7" borderId="5" xfId="0" applyNumberFormat="1" applyFont="1" applyFill="1" applyBorder="1">
      <alignment vertical="center"/>
    </xf>
    <xf numFmtId="3" fontId="48" fillId="7" borderId="5" xfId="0" applyNumberFormat="1" applyFont="1" applyFill="1" applyBorder="1">
      <alignment vertical="center"/>
    </xf>
    <xf numFmtId="0" fontId="49" fillId="7" borderId="1" xfId="0" applyFont="1" applyFill="1" applyBorder="1" applyAlignment="1">
      <alignment horizontal="center" vertical="center" wrapText="1" shrinkToFit="1"/>
    </xf>
    <xf numFmtId="0" fontId="49" fillId="7" borderId="1" xfId="0" applyFont="1" applyFill="1" applyBorder="1" applyAlignment="1">
      <alignment horizontal="center" vertical="center" shrinkToFit="1"/>
    </xf>
    <xf numFmtId="38" fontId="49" fillId="7" borderId="1" xfId="0" applyNumberFormat="1" applyFont="1" applyFill="1" applyBorder="1" applyAlignment="1">
      <alignment horizontal="center" vertical="center" wrapText="1"/>
    </xf>
    <xf numFmtId="0" fontId="48" fillId="7" borderId="1" xfId="0" applyFont="1" applyFill="1" applyBorder="1" applyAlignment="1">
      <alignment horizontal="center" vertical="center" wrapText="1"/>
    </xf>
    <xf numFmtId="177" fontId="49" fillId="7" borderId="1" xfId="0" applyNumberFormat="1" applyFont="1" applyFill="1" applyBorder="1" applyAlignment="1">
      <alignment horizontal="center" vertical="center"/>
    </xf>
    <xf numFmtId="178" fontId="49" fillId="7" borderId="1" xfId="0" applyNumberFormat="1" applyFont="1" applyFill="1" applyBorder="1" applyAlignment="1">
      <alignment horizontal="center" vertical="center" wrapText="1" shrinkToFit="1"/>
    </xf>
    <xf numFmtId="3" fontId="49" fillId="7" borderId="1" xfId="0" applyNumberFormat="1" applyFont="1" applyFill="1" applyBorder="1" applyAlignment="1">
      <alignment horizontal="center" vertical="center" wrapText="1" shrinkToFit="1"/>
    </xf>
    <xf numFmtId="0" fontId="48" fillId="7" borderId="0" xfId="0" applyFont="1" applyFill="1" applyAlignment="1">
      <alignment horizontal="center" vertical="center" shrinkToFit="1"/>
    </xf>
    <xf numFmtId="3" fontId="52" fillId="7" borderId="1" xfId="0" applyNumberFormat="1" applyFont="1" applyFill="1" applyBorder="1" applyAlignment="1">
      <alignment horizontal="center" vertical="center" wrapText="1" shrinkToFit="1"/>
    </xf>
    <xf numFmtId="0" fontId="40" fillId="7" borderId="1" xfId="0" applyFont="1" applyFill="1" applyBorder="1" applyAlignment="1">
      <alignment horizontal="center" vertical="center"/>
    </xf>
    <xf numFmtId="178" fontId="52" fillId="7" borderId="1" xfId="0" applyNumberFormat="1" applyFont="1" applyFill="1" applyBorder="1" applyAlignment="1">
      <alignment horizontal="center" vertical="center" wrapText="1" shrinkToFit="1"/>
    </xf>
    <xf numFmtId="0" fontId="52" fillId="7" borderId="1" xfId="0" applyFont="1" applyFill="1" applyBorder="1" applyAlignment="1">
      <alignment horizontal="left" vertical="center" shrinkToFit="1"/>
    </xf>
    <xf numFmtId="0" fontId="50" fillId="7" borderId="1" xfId="0" applyFont="1" applyFill="1" applyBorder="1" applyAlignment="1">
      <alignment horizontal="center" vertical="center" shrinkToFit="1"/>
    </xf>
    <xf numFmtId="0" fontId="49" fillId="7" borderId="1" xfId="0" applyFont="1" applyFill="1" applyBorder="1">
      <alignment vertical="center"/>
    </xf>
    <xf numFmtId="0" fontId="50" fillId="7" borderId="1" xfId="0" applyFont="1" applyFill="1" applyBorder="1" applyAlignment="1">
      <alignment horizontal="center" vertical="center" wrapText="1"/>
    </xf>
    <xf numFmtId="176" fontId="49" fillId="7" borderId="1" xfId="0" applyNumberFormat="1" applyFont="1" applyFill="1" applyBorder="1" applyAlignment="1">
      <alignment horizontal="right" vertical="center"/>
    </xf>
    <xf numFmtId="0" fontId="47" fillId="7" borderId="1" xfId="0" applyFont="1" applyFill="1" applyBorder="1" applyAlignment="1">
      <alignment horizontal="left" vertical="center" shrinkToFit="1"/>
    </xf>
    <xf numFmtId="177" fontId="47" fillId="7" borderId="1" xfId="0" applyNumberFormat="1" applyFont="1" applyFill="1" applyBorder="1" applyAlignment="1">
      <alignment horizontal="center" vertical="center"/>
    </xf>
    <xf numFmtId="176" fontId="47" fillId="7" borderId="1" xfId="0" applyNumberFormat="1" applyFont="1" applyFill="1" applyBorder="1">
      <alignment vertical="center"/>
    </xf>
    <xf numFmtId="3" fontId="48" fillId="7" borderId="1" xfId="0" applyNumberFormat="1" applyFont="1" applyFill="1" applyBorder="1" applyAlignment="1">
      <alignment horizontal="right" vertical="center"/>
    </xf>
    <xf numFmtId="0" fontId="50" fillId="7" borderId="1" xfId="0" applyFont="1" applyFill="1" applyBorder="1" applyAlignment="1">
      <alignment horizontal="center" vertical="center"/>
    </xf>
    <xf numFmtId="177" fontId="49" fillId="7" borderId="1" xfId="0" applyNumberFormat="1" applyFont="1" applyFill="1" applyBorder="1" applyAlignment="1">
      <alignment horizontal="left" vertical="center"/>
    </xf>
    <xf numFmtId="176" fontId="49" fillId="7" borderId="1" xfId="0" applyNumberFormat="1" applyFont="1" applyFill="1" applyBorder="1" applyAlignment="1">
      <alignment horizontal="center" vertical="center"/>
    </xf>
    <xf numFmtId="0" fontId="48" fillId="7" borderId="3" xfId="0" applyFont="1" applyFill="1" applyBorder="1" applyAlignment="1">
      <alignment horizontal="center" vertical="center" wrapText="1"/>
    </xf>
    <xf numFmtId="0" fontId="49" fillId="7" borderId="0" xfId="0" applyFont="1" applyFill="1" applyAlignment="1">
      <alignment horizontal="center" vertical="center"/>
    </xf>
    <xf numFmtId="176" fontId="47" fillId="7" borderId="1" xfId="0" applyNumberFormat="1" applyFont="1" applyFill="1" applyBorder="1" applyAlignment="1">
      <alignment horizontal="right" vertical="center"/>
    </xf>
    <xf numFmtId="0" fontId="40" fillId="7" borderId="1" xfId="0" applyFont="1" applyFill="1" applyBorder="1" applyAlignment="1">
      <alignment horizontal="center" vertical="center" shrinkToFit="1"/>
    </xf>
    <xf numFmtId="0" fontId="40" fillId="7" borderId="1" xfId="0" applyFont="1" applyFill="1" applyBorder="1" applyAlignment="1">
      <alignment horizontal="left" vertical="center" shrinkToFit="1"/>
    </xf>
    <xf numFmtId="0" fontId="47" fillId="7" borderId="1" xfId="0" applyFont="1" applyFill="1" applyBorder="1">
      <alignment vertical="center"/>
    </xf>
    <xf numFmtId="0" fontId="39" fillId="7" borderId="1" xfId="0" applyFont="1" applyFill="1" applyBorder="1" applyAlignment="1">
      <alignment horizontal="center" vertical="center" shrinkToFit="1"/>
    </xf>
    <xf numFmtId="0" fontId="49" fillId="7" borderId="1" xfId="0" applyFont="1" applyFill="1" applyBorder="1" applyAlignment="1">
      <alignment vertical="center" wrapText="1"/>
    </xf>
    <xf numFmtId="0" fontId="62" fillId="7" borderId="0" xfId="0" applyFont="1" applyFill="1">
      <alignment vertical="center"/>
    </xf>
    <xf numFmtId="0" fontId="40" fillId="7" borderId="1" xfId="0" applyFont="1" applyFill="1" applyBorder="1" applyAlignment="1">
      <alignment horizontal="center" vertical="center" wrapText="1"/>
    </xf>
    <xf numFmtId="177" fontId="40" fillId="7" borderId="1" xfId="0" applyNumberFormat="1" applyFont="1" applyFill="1" applyBorder="1" applyAlignment="1">
      <alignment horizontal="center" vertical="center"/>
    </xf>
    <xf numFmtId="176" fontId="40" fillId="7" borderId="1" xfId="0" applyNumberFormat="1" applyFont="1" applyFill="1" applyBorder="1">
      <alignment vertical="center"/>
    </xf>
    <xf numFmtId="178" fontId="40" fillId="7" borderId="1" xfId="0" applyNumberFormat="1" applyFont="1" applyFill="1" applyBorder="1" applyAlignment="1">
      <alignment horizontal="center" vertical="center" wrapText="1"/>
    </xf>
    <xf numFmtId="3" fontId="44" fillId="7" borderId="1" xfId="0" applyNumberFormat="1" applyFont="1" applyFill="1" applyBorder="1" applyAlignment="1">
      <alignment horizontal="center" vertical="center" wrapText="1" shrinkToFit="1"/>
    </xf>
    <xf numFmtId="0" fontId="40" fillId="7" borderId="1" xfId="0" applyFont="1" applyFill="1" applyBorder="1" applyAlignment="1">
      <alignment horizontal="left" vertical="center" wrapText="1"/>
    </xf>
    <xf numFmtId="176" fontId="40" fillId="7" borderId="1" xfId="0" applyNumberFormat="1" applyFont="1" applyFill="1" applyBorder="1" applyAlignment="1">
      <alignment horizontal="right" vertical="center"/>
    </xf>
    <xf numFmtId="3" fontId="40" fillId="7" borderId="1" xfId="0" applyNumberFormat="1" applyFont="1" applyFill="1" applyBorder="1" applyAlignment="1">
      <alignment horizontal="center" vertical="center" wrapText="1"/>
    </xf>
    <xf numFmtId="0" fontId="58" fillId="7" borderId="1" xfId="0" applyFont="1" applyFill="1" applyBorder="1">
      <alignment vertical="center"/>
    </xf>
    <xf numFmtId="0" fontId="58" fillId="7" borderId="1" xfId="0" applyFont="1" applyFill="1" applyBorder="1" applyAlignment="1">
      <alignment vertical="center" wrapText="1"/>
    </xf>
    <xf numFmtId="0" fontId="58" fillId="7" borderId="1" xfId="0" applyFont="1" applyFill="1" applyBorder="1" applyAlignment="1">
      <alignment vertical="center" shrinkToFit="1"/>
    </xf>
    <xf numFmtId="3" fontId="58" fillId="7" borderId="1" xfId="0" applyNumberFormat="1" applyFont="1" applyFill="1" applyBorder="1" applyAlignment="1">
      <alignment vertical="center" shrinkToFit="1"/>
    </xf>
    <xf numFmtId="178" fontId="58" fillId="7" borderId="1" xfId="0" applyNumberFormat="1" applyFont="1" applyFill="1" applyBorder="1" applyAlignment="1">
      <alignment horizontal="center" vertical="center"/>
    </xf>
    <xf numFmtId="3" fontId="58" fillId="7" borderId="1" xfId="0" applyNumberFormat="1" applyFont="1" applyFill="1" applyBorder="1">
      <alignment vertical="center"/>
    </xf>
    <xf numFmtId="0" fontId="39" fillId="7" borderId="1" xfId="0" applyFont="1" applyFill="1" applyBorder="1" applyAlignment="1">
      <alignment horizontal="left" vertical="center" shrinkToFit="1"/>
    </xf>
    <xf numFmtId="0" fontId="40" fillId="7" borderId="1" xfId="0" applyFont="1" applyFill="1" applyBorder="1" applyAlignment="1">
      <alignment horizontal="right" vertical="center" shrinkToFit="1"/>
    </xf>
    <xf numFmtId="0" fontId="40" fillId="7" borderId="0" xfId="0" applyFont="1" applyFill="1">
      <alignment vertical="center"/>
    </xf>
    <xf numFmtId="0" fontId="39" fillId="7" borderId="1" xfId="0" applyFont="1" applyFill="1" applyBorder="1" applyAlignment="1">
      <alignment horizontal="center" vertical="center"/>
    </xf>
    <xf numFmtId="0" fontId="39" fillId="7" borderId="1" xfId="0" applyFont="1" applyFill="1" applyBorder="1" applyAlignment="1">
      <alignment horizontal="center" vertical="center" wrapText="1"/>
    </xf>
    <xf numFmtId="0" fontId="45" fillId="7" borderId="1" xfId="0" applyFont="1" applyFill="1" applyBorder="1" applyAlignment="1">
      <alignment horizontal="left" vertical="center" shrinkToFit="1"/>
    </xf>
    <xf numFmtId="177" fontId="39" fillId="7" borderId="1" xfId="0" applyNumberFormat="1" applyFont="1" applyFill="1" applyBorder="1" applyAlignment="1">
      <alignment horizontal="center" vertical="center"/>
    </xf>
    <xf numFmtId="176" fontId="39" fillId="7" borderId="1" xfId="0" applyNumberFormat="1" applyFont="1" applyFill="1" applyBorder="1" applyAlignment="1">
      <alignment horizontal="right" vertical="center"/>
    </xf>
    <xf numFmtId="178" fontId="45" fillId="7" borderId="1" xfId="0" applyNumberFormat="1" applyFont="1" applyFill="1" applyBorder="1" applyAlignment="1">
      <alignment horizontal="center" vertical="center" wrapText="1" shrinkToFit="1"/>
    </xf>
    <xf numFmtId="3" fontId="45" fillId="7" borderId="1" xfId="0" applyNumberFormat="1" applyFont="1" applyFill="1" applyBorder="1" applyAlignment="1">
      <alignment horizontal="center" vertical="center" wrapText="1" shrinkToFit="1"/>
    </xf>
    <xf numFmtId="0" fontId="47" fillId="5" borderId="1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 shrinkToFit="1"/>
    </xf>
    <xf numFmtId="38" fontId="47" fillId="5" borderId="1" xfId="0" applyNumberFormat="1" applyFont="1" applyFill="1" applyBorder="1" applyAlignment="1">
      <alignment horizontal="center" vertical="center"/>
    </xf>
    <xf numFmtId="176" fontId="47" fillId="5" borderId="1" xfId="0" applyNumberFormat="1" applyFont="1" applyFill="1" applyBorder="1" applyAlignment="1">
      <alignment horizontal="center" vertical="center"/>
    </xf>
    <xf numFmtId="3" fontId="48" fillId="5" borderId="1" xfId="0" applyNumberFormat="1" applyFont="1" applyFill="1" applyBorder="1" applyAlignment="1">
      <alignment horizontal="center" vertical="center"/>
    </xf>
    <xf numFmtId="38" fontId="48" fillId="5" borderId="1" xfId="0" applyNumberFormat="1" applyFont="1" applyFill="1" applyBorder="1" applyAlignment="1">
      <alignment horizontal="center" vertical="center" wrapText="1"/>
    </xf>
    <xf numFmtId="38" fontId="52" fillId="5" borderId="1" xfId="0" applyNumberFormat="1" applyFont="1" applyFill="1" applyBorder="1" applyAlignment="1">
      <alignment horizontal="center" vertical="center" wrapText="1"/>
    </xf>
    <xf numFmtId="38" fontId="39" fillId="7" borderId="1" xfId="0" applyNumberFormat="1" applyFont="1" applyFill="1" applyBorder="1" applyAlignment="1">
      <alignment horizontal="center" vertical="center" shrinkToFit="1"/>
    </xf>
    <xf numFmtId="0" fontId="49" fillId="7" borderId="1" xfId="0" applyFont="1" applyFill="1" applyBorder="1" applyAlignment="1">
      <alignment horizontal="right" vertical="center"/>
    </xf>
    <xf numFmtId="0" fontId="49" fillId="7" borderId="1" xfId="0" applyFont="1" applyFill="1" applyBorder="1" applyAlignment="1">
      <alignment vertical="center" shrinkToFit="1"/>
    </xf>
    <xf numFmtId="0" fontId="49" fillId="7" borderId="2" xfId="0" applyFont="1" applyFill="1" applyBorder="1" applyAlignment="1">
      <alignment horizontal="center" vertical="center"/>
    </xf>
    <xf numFmtId="0" fontId="39" fillId="7" borderId="2" xfId="0" applyFont="1" applyFill="1" applyBorder="1" applyAlignment="1">
      <alignment horizontal="center" vertical="center"/>
    </xf>
    <xf numFmtId="0" fontId="49" fillId="7" borderId="4" xfId="0" applyFont="1" applyFill="1" applyBorder="1" applyAlignment="1">
      <alignment horizontal="center" vertical="center"/>
    </xf>
    <xf numFmtId="0" fontId="48" fillId="7" borderId="4" xfId="0" applyFont="1" applyFill="1" applyBorder="1" applyAlignment="1">
      <alignment horizontal="center" vertical="center" shrinkToFit="1"/>
    </xf>
    <xf numFmtId="0" fontId="53" fillId="7" borderId="0" xfId="0" applyFont="1" applyFill="1" applyAlignment="1">
      <alignment horizontal="center" vertical="center"/>
    </xf>
    <xf numFmtId="38" fontId="48" fillId="7" borderId="2" xfId="0" applyNumberFormat="1" applyFont="1" applyFill="1" applyBorder="1" applyAlignment="1">
      <alignment horizontal="center" vertical="center" shrinkToFit="1"/>
    </xf>
    <xf numFmtId="0" fontId="47" fillId="7" borderId="0" xfId="0" applyFont="1" applyFill="1" applyAlignment="1">
      <alignment horizontal="center" vertical="center"/>
    </xf>
    <xf numFmtId="0" fontId="49" fillId="7" borderId="4" xfId="0" applyFont="1" applyFill="1" applyBorder="1" applyAlignment="1">
      <alignment horizontal="left" vertical="center" shrinkToFit="1"/>
    </xf>
    <xf numFmtId="176" fontId="49" fillId="7" borderId="4" xfId="0" applyNumberFormat="1" applyFont="1" applyFill="1" applyBorder="1">
      <alignment vertical="center"/>
    </xf>
    <xf numFmtId="176" fontId="47" fillId="7" borderId="0" xfId="0" applyNumberFormat="1" applyFont="1" applyFill="1" applyAlignment="1">
      <alignment horizontal="right" vertical="center"/>
    </xf>
    <xf numFmtId="176" fontId="47" fillId="7" borderId="2" xfId="0" applyNumberFormat="1" applyFont="1" applyFill="1" applyBorder="1">
      <alignment vertical="center"/>
    </xf>
    <xf numFmtId="3" fontId="48" fillId="7" borderId="4" xfId="0" applyNumberFormat="1" applyFont="1" applyFill="1" applyBorder="1">
      <alignment vertical="center"/>
    </xf>
    <xf numFmtId="0" fontId="49" fillId="7" borderId="3" xfId="0" applyFont="1" applyFill="1" applyBorder="1" applyAlignment="1">
      <alignment horizontal="center" vertical="center" shrinkToFit="1"/>
    </xf>
    <xf numFmtId="0" fontId="48" fillId="7" borderId="4" xfId="0" applyFont="1" applyFill="1" applyBorder="1" applyAlignment="1">
      <alignment horizontal="center" vertical="center" wrapText="1" shrinkToFit="1"/>
    </xf>
    <xf numFmtId="178" fontId="49" fillId="7" borderId="4" xfId="0" applyNumberFormat="1" applyFont="1" applyFill="1" applyBorder="1" applyAlignment="1">
      <alignment horizontal="center" vertical="center"/>
    </xf>
    <xf numFmtId="178" fontId="49" fillId="7" borderId="3" xfId="0" applyNumberFormat="1" applyFont="1" applyFill="1" applyBorder="1" applyAlignment="1">
      <alignment horizontal="center" vertical="center" wrapText="1"/>
    </xf>
    <xf numFmtId="3" fontId="49" fillId="7" borderId="4" xfId="0" applyNumberFormat="1" applyFont="1" applyFill="1" applyBorder="1" applyAlignment="1">
      <alignment horizontal="center" vertical="center"/>
    </xf>
    <xf numFmtId="0" fontId="39" fillId="5" borderId="2" xfId="0" applyFont="1" applyFill="1" applyBorder="1" applyAlignment="1">
      <alignment horizontal="center" vertical="center" shrinkToFit="1"/>
    </xf>
    <xf numFmtId="178" fontId="39" fillId="5" borderId="1" xfId="0" applyNumberFormat="1" applyFont="1" applyFill="1" applyBorder="1" applyAlignment="1">
      <alignment horizontal="center" vertical="center" wrapText="1" shrinkToFit="1"/>
    </xf>
    <xf numFmtId="0" fontId="39" fillId="5" borderId="0" xfId="0" applyFont="1" applyFill="1" applyAlignment="1">
      <alignment horizontal="center" vertical="center"/>
    </xf>
    <xf numFmtId="183" fontId="39" fillId="0" borderId="1" xfId="0" applyNumberFormat="1" applyFont="1" applyBorder="1" applyAlignment="1">
      <alignment horizontal="center" vertical="center" wrapText="1"/>
    </xf>
    <xf numFmtId="176" fontId="54" fillId="5" borderId="1" xfId="0" applyNumberFormat="1" applyFont="1" applyFill="1" applyBorder="1" applyAlignment="1">
      <alignment horizontal="right" vertical="center"/>
    </xf>
    <xf numFmtId="176" fontId="39" fillId="5" borderId="0" xfId="0" applyNumberFormat="1" applyFont="1" applyFill="1" applyAlignment="1">
      <alignment horizontal="right" vertical="center"/>
    </xf>
    <xf numFmtId="183" fontId="39" fillId="5" borderId="1" xfId="0" applyNumberFormat="1" applyFont="1" applyFill="1" applyBorder="1" applyAlignment="1">
      <alignment horizontal="center" vertical="center" wrapText="1" shrinkToFit="1"/>
    </xf>
    <xf numFmtId="0" fontId="37" fillId="7" borderId="1" xfId="0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 shrinkToFit="1"/>
    </xf>
    <xf numFmtId="0" fontId="37" fillId="7" borderId="1" xfId="0" applyFont="1" applyFill="1" applyBorder="1" applyAlignment="1">
      <alignment horizontal="left" vertical="center" shrinkToFit="1"/>
    </xf>
    <xf numFmtId="177" fontId="37" fillId="7" borderId="1" xfId="0" applyNumberFormat="1" applyFont="1" applyFill="1" applyBorder="1" applyAlignment="1">
      <alignment horizontal="center" vertical="center"/>
    </xf>
    <xf numFmtId="176" fontId="37" fillId="7" borderId="1" xfId="0" applyNumberFormat="1" applyFont="1" applyFill="1" applyBorder="1" applyAlignment="1">
      <alignment horizontal="right" vertical="center"/>
    </xf>
    <xf numFmtId="3" fontId="38" fillId="7" borderId="1" xfId="0" applyNumberFormat="1" applyFont="1" applyFill="1" applyBorder="1" applyAlignment="1">
      <alignment horizontal="center" vertical="center" wrapText="1" shrinkToFit="1"/>
    </xf>
    <xf numFmtId="179" fontId="49" fillId="7" borderId="1" xfId="0" applyNumberFormat="1" applyFont="1" applyFill="1" applyBorder="1" applyAlignment="1">
      <alignment horizontal="center" vertical="center" wrapText="1"/>
    </xf>
    <xf numFmtId="3" fontId="39" fillId="7" borderId="1" xfId="0" applyNumberFormat="1" applyFont="1" applyFill="1" applyBorder="1" applyAlignment="1">
      <alignment horizontal="center" vertical="center" wrapText="1" shrinkToFit="1"/>
    </xf>
    <xf numFmtId="38" fontId="39" fillId="5" borderId="2" xfId="0" applyNumberFormat="1" applyFont="1" applyFill="1" applyBorder="1" applyAlignment="1">
      <alignment horizontal="left" vertical="center" shrinkToFit="1"/>
    </xf>
    <xf numFmtId="38" fontId="39" fillId="5" borderId="2" xfId="0" applyNumberFormat="1" applyFont="1" applyFill="1" applyBorder="1" applyAlignment="1">
      <alignment horizontal="center" vertical="center" wrapText="1" shrinkToFit="1"/>
    </xf>
    <xf numFmtId="3" fontId="39" fillId="5" borderId="1" xfId="0" applyNumberFormat="1" applyFont="1" applyFill="1" applyBorder="1" applyAlignment="1">
      <alignment horizontal="center" vertical="center" wrapText="1"/>
    </xf>
    <xf numFmtId="38" fontId="37" fillId="7" borderId="1" xfId="0" applyNumberFormat="1" applyFont="1" applyFill="1" applyBorder="1" applyAlignment="1">
      <alignment horizontal="center" vertical="center" shrinkToFit="1"/>
    </xf>
    <xf numFmtId="0" fontId="48" fillId="7" borderId="2" xfId="0" applyFont="1" applyFill="1" applyBorder="1" applyAlignment="1">
      <alignment horizontal="center" vertical="center" shrinkToFit="1"/>
    </xf>
    <xf numFmtId="38" fontId="37" fillId="7" borderId="1" xfId="0" applyNumberFormat="1" applyFont="1" applyFill="1" applyBorder="1" applyAlignment="1">
      <alignment horizontal="left" vertical="center" shrinkToFit="1"/>
    </xf>
    <xf numFmtId="182" fontId="37" fillId="7" borderId="1" xfId="0" applyNumberFormat="1" applyFont="1" applyFill="1" applyBorder="1" applyAlignment="1">
      <alignment horizontal="center" vertical="center" shrinkToFit="1"/>
    </xf>
    <xf numFmtId="0" fontId="39" fillId="7" borderId="0" xfId="0" applyFont="1" applyFill="1">
      <alignment vertical="center"/>
    </xf>
    <xf numFmtId="0" fontId="64" fillId="0" borderId="1" xfId="0" applyFont="1" applyBorder="1" applyAlignment="1">
      <alignment horizontal="center" vertical="center"/>
    </xf>
    <xf numFmtId="0" fontId="39" fillId="8" borderId="1" xfId="0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center" vertical="center" wrapText="1"/>
    </xf>
    <xf numFmtId="0" fontId="39" fillId="8" borderId="1" xfId="0" applyFont="1" applyFill="1" applyBorder="1" applyAlignment="1">
      <alignment horizontal="center" vertical="center" shrinkToFit="1"/>
    </xf>
    <xf numFmtId="0" fontId="39" fillId="8" borderId="1" xfId="0" applyFont="1" applyFill="1" applyBorder="1" applyAlignment="1">
      <alignment horizontal="left" vertical="center" shrinkToFit="1"/>
    </xf>
    <xf numFmtId="177" fontId="39" fillId="8" borderId="1" xfId="0" applyNumberFormat="1" applyFont="1" applyFill="1" applyBorder="1" applyAlignment="1">
      <alignment horizontal="center" vertical="center"/>
    </xf>
    <xf numFmtId="176" fontId="39" fillId="8" borderId="1" xfId="0" applyNumberFormat="1" applyFont="1" applyFill="1" applyBorder="1" applyAlignment="1">
      <alignment horizontal="right" vertical="center"/>
    </xf>
    <xf numFmtId="178" fontId="39" fillId="8" borderId="1" xfId="0" applyNumberFormat="1" applyFont="1" applyFill="1" applyBorder="1" applyAlignment="1">
      <alignment horizontal="center" vertical="center" wrapText="1"/>
    </xf>
    <xf numFmtId="3" fontId="40" fillId="8" borderId="1" xfId="0" applyNumberFormat="1" applyFont="1" applyFill="1" applyBorder="1" applyAlignment="1">
      <alignment horizontal="center" vertical="center" wrapText="1"/>
    </xf>
    <xf numFmtId="0" fontId="39" fillId="8" borderId="0" xfId="0" applyFont="1" applyFill="1">
      <alignment vertical="center"/>
    </xf>
    <xf numFmtId="176" fontId="39" fillId="8" borderId="0" xfId="0" applyNumberFormat="1" applyFont="1" applyFill="1" applyAlignment="1">
      <alignment horizontal="right" vertical="center"/>
    </xf>
    <xf numFmtId="0" fontId="39" fillId="5" borderId="1" xfId="0" applyFont="1" applyFill="1" applyBorder="1" applyAlignment="1">
      <alignment horizontal="left" vertical="center" wrapText="1"/>
    </xf>
    <xf numFmtId="0" fontId="39" fillId="5" borderId="2" xfId="0" applyFont="1" applyFill="1" applyBorder="1" applyAlignment="1">
      <alignment horizontal="center" vertical="center" wrapText="1"/>
    </xf>
    <xf numFmtId="0" fontId="39" fillId="5" borderId="3" xfId="0" applyFont="1" applyFill="1" applyBorder="1" applyAlignment="1">
      <alignment horizontal="center" vertical="center" wrapText="1"/>
    </xf>
    <xf numFmtId="38" fontId="37" fillId="7" borderId="2" xfId="0" applyNumberFormat="1" applyFont="1" applyFill="1" applyBorder="1" applyAlignment="1">
      <alignment horizontal="center" vertical="center" shrinkToFit="1"/>
    </xf>
    <xf numFmtId="0" fontId="39" fillId="7" borderId="2" xfId="0" applyFont="1" applyFill="1" applyBorder="1" applyAlignment="1">
      <alignment horizontal="center" vertical="center" shrinkToFit="1"/>
    </xf>
    <xf numFmtId="0" fontId="39" fillId="7" borderId="2" xfId="0" applyFont="1" applyFill="1" applyBorder="1" applyAlignment="1">
      <alignment horizontal="left" vertical="center" shrinkToFit="1"/>
    </xf>
    <xf numFmtId="38" fontId="39" fillId="7" borderId="2" xfId="0" applyNumberFormat="1" applyFont="1" applyFill="1" applyBorder="1" applyAlignment="1">
      <alignment horizontal="center" vertical="center"/>
    </xf>
    <xf numFmtId="182" fontId="37" fillId="7" borderId="2" xfId="0" applyNumberFormat="1" applyFont="1" applyFill="1" applyBorder="1" applyAlignment="1">
      <alignment horizontal="center" vertical="center" shrinkToFit="1"/>
    </xf>
    <xf numFmtId="178" fontId="45" fillId="7" borderId="2" xfId="0" applyNumberFormat="1" applyFont="1" applyFill="1" applyBorder="1" applyAlignment="1">
      <alignment horizontal="center" vertical="center"/>
    </xf>
    <xf numFmtId="3" fontId="45" fillId="7" borderId="2" xfId="0" applyNumberFormat="1" applyFont="1" applyFill="1" applyBorder="1" applyAlignment="1">
      <alignment horizontal="center" vertical="center"/>
    </xf>
    <xf numFmtId="38" fontId="39" fillId="7" borderId="2" xfId="0" applyNumberFormat="1" applyFont="1" applyFill="1" applyBorder="1" applyAlignment="1">
      <alignment horizontal="center" vertical="center" wrapText="1" shrinkToFit="1"/>
    </xf>
    <xf numFmtId="38" fontId="39" fillId="7" borderId="2" xfId="0" applyNumberFormat="1" applyFont="1" applyFill="1" applyBorder="1" applyAlignment="1">
      <alignment horizontal="center" vertical="center" shrinkToFit="1"/>
    </xf>
    <xf numFmtId="178" fontId="40" fillId="7" borderId="2" xfId="0" applyNumberFormat="1" applyFont="1" applyFill="1" applyBorder="1" applyAlignment="1">
      <alignment horizontal="center" vertical="center" wrapText="1"/>
    </xf>
    <xf numFmtId="3" fontId="40" fillId="7" borderId="2" xfId="0" applyNumberFormat="1" applyFont="1" applyFill="1" applyBorder="1" applyAlignment="1">
      <alignment horizontal="center" vertical="center" wrapText="1"/>
    </xf>
    <xf numFmtId="178" fontId="39" fillId="7" borderId="2" xfId="0" applyNumberFormat="1" applyFont="1" applyFill="1" applyBorder="1" applyAlignment="1">
      <alignment horizontal="center" vertical="center" wrapText="1"/>
    </xf>
    <xf numFmtId="178" fontId="39" fillId="7" borderId="1" xfId="0" applyNumberFormat="1" applyFont="1" applyFill="1" applyBorder="1" applyAlignment="1">
      <alignment horizontal="center" vertical="center" wrapText="1"/>
    </xf>
    <xf numFmtId="176" fontId="56" fillId="0" borderId="1" xfId="0" applyNumberFormat="1" applyFont="1" applyBorder="1" applyAlignment="1">
      <alignment horizontal="center" vertical="center"/>
    </xf>
    <xf numFmtId="38" fontId="39" fillId="7" borderId="1" xfId="0" applyNumberFormat="1" applyFont="1" applyFill="1" applyBorder="1" applyAlignment="1">
      <alignment horizontal="center" vertical="center"/>
    </xf>
    <xf numFmtId="178" fontId="45" fillId="7" borderId="1" xfId="0" applyNumberFormat="1" applyFont="1" applyFill="1" applyBorder="1" applyAlignment="1">
      <alignment horizontal="center" vertical="center" wrapText="1"/>
    </xf>
    <xf numFmtId="3" fontId="45" fillId="7" borderId="1" xfId="0" applyNumberFormat="1" applyFont="1" applyFill="1" applyBorder="1" applyAlignment="1">
      <alignment horizontal="center" vertical="center" wrapText="1"/>
    </xf>
    <xf numFmtId="3" fontId="44" fillId="7" borderId="1" xfId="0" applyNumberFormat="1" applyFont="1" applyFill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shrinkToFit="1"/>
    </xf>
    <xf numFmtId="0" fontId="69" fillId="0" borderId="1" xfId="0" applyFont="1" applyBorder="1" applyAlignment="1">
      <alignment horizontal="left" vertical="center" shrinkToFit="1"/>
    </xf>
    <xf numFmtId="177" fontId="69" fillId="0" borderId="1" xfId="0" applyNumberFormat="1" applyFont="1" applyBorder="1" applyAlignment="1">
      <alignment horizontal="center" vertical="center"/>
    </xf>
    <xf numFmtId="176" fontId="69" fillId="0" borderId="1" xfId="0" applyNumberFormat="1" applyFont="1" applyBorder="1" applyAlignment="1">
      <alignment horizontal="right" vertical="center"/>
    </xf>
    <xf numFmtId="178" fontId="69" fillId="0" borderId="1" xfId="0" applyNumberFormat="1" applyFont="1" applyBorder="1" applyAlignment="1">
      <alignment horizontal="center" vertical="center" wrapText="1"/>
    </xf>
    <xf numFmtId="3" fontId="69" fillId="5" borderId="1" xfId="0" applyNumberFormat="1" applyFont="1" applyFill="1" applyBorder="1" applyAlignment="1">
      <alignment horizontal="center" vertical="center" wrapText="1"/>
    </xf>
    <xf numFmtId="0" fontId="69" fillId="0" borderId="1" xfId="0" quotePrefix="1" applyFont="1" applyBorder="1" applyAlignment="1">
      <alignment horizontal="center" vertical="center" wrapText="1"/>
    </xf>
    <xf numFmtId="176" fontId="69" fillId="0" borderId="0" xfId="0" applyNumberFormat="1" applyFont="1" applyAlignment="1">
      <alignment horizontal="right" vertical="center"/>
    </xf>
    <xf numFmtId="17" fontId="39" fillId="5" borderId="1" xfId="0" quotePrefix="1" applyNumberFormat="1" applyFont="1" applyFill="1" applyBorder="1" applyAlignment="1">
      <alignment horizontal="center" vertical="center" wrapText="1"/>
    </xf>
    <xf numFmtId="0" fontId="37" fillId="7" borderId="0" xfId="0" applyFont="1" applyFill="1">
      <alignment vertical="center"/>
    </xf>
    <xf numFmtId="0" fontId="72" fillId="0" borderId="1" xfId="0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shrinkToFit="1"/>
    </xf>
    <xf numFmtId="0" fontId="72" fillId="0" borderId="1" xfId="0" applyFont="1" applyBorder="1" applyAlignment="1">
      <alignment horizontal="left" vertical="center" shrinkToFit="1"/>
    </xf>
    <xf numFmtId="38" fontId="72" fillId="0" borderId="1" xfId="0" applyNumberFormat="1" applyFont="1" applyBorder="1" applyAlignment="1">
      <alignment horizontal="center" vertical="center"/>
    </xf>
    <xf numFmtId="176" fontId="72" fillId="0" borderId="1" xfId="0" applyNumberFormat="1" applyFont="1" applyBorder="1" applyAlignment="1">
      <alignment horizontal="right" vertical="center"/>
    </xf>
    <xf numFmtId="38" fontId="72" fillId="0" borderId="2" xfId="0" applyNumberFormat="1" applyFont="1" applyBorder="1" applyAlignment="1">
      <alignment horizontal="center" vertical="center" shrinkToFit="1"/>
    </xf>
    <xf numFmtId="38" fontId="72" fillId="0" borderId="1" xfId="0" applyNumberFormat="1" applyFont="1" applyBorder="1" applyAlignment="1">
      <alignment horizontal="center" vertical="center" shrinkToFit="1"/>
    </xf>
    <xf numFmtId="38" fontId="72" fillId="0" borderId="3" xfId="0" applyNumberFormat="1" applyFont="1" applyBorder="1" applyAlignment="1">
      <alignment horizontal="center" vertical="center" shrinkToFit="1"/>
    </xf>
    <xf numFmtId="178" fontId="73" fillId="0" borderId="1" xfId="0" applyNumberFormat="1" applyFont="1" applyBorder="1" applyAlignment="1">
      <alignment horizontal="center" vertical="center"/>
    </xf>
    <xf numFmtId="3" fontId="73" fillId="0" borderId="1" xfId="0" applyNumberFormat="1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 wrapText="1" shrinkToFit="1"/>
    </xf>
    <xf numFmtId="0" fontId="72" fillId="0" borderId="0" xfId="0" applyFont="1">
      <alignment vertical="center"/>
    </xf>
    <xf numFmtId="176" fontId="39" fillId="5" borderId="1" xfId="0" applyNumberFormat="1" applyFont="1" applyFill="1" applyBorder="1" applyAlignment="1">
      <alignment horizontal="center" vertical="center"/>
    </xf>
    <xf numFmtId="177" fontId="39" fillId="7" borderId="1" xfId="0" applyNumberFormat="1" applyFont="1" applyFill="1" applyBorder="1" applyAlignment="1">
      <alignment horizontal="left" vertical="center"/>
    </xf>
    <xf numFmtId="178" fontId="39" fillId="7" borderId="1" xfId="0" applyNumberFormat="1" applyFont="1" applyFill="1" applyBorder="1" applyAlignment="1">
      <alignment horizontal="center" vertical="center" wrapText="1" shrinkToFit="1"/>
    </xf>
    <xf numFmtId="178" fontId="39" fillId="0" borderId="1" xfId="0" applyNumberFormat="1" applyFont="1" applyBorder="1" applyAlignment="1">
      <alignment horizontal="center" vertical="center" wrapText="1" shrinkToFit="1"/>
    </xf>
    <xf numFmtId="178" fontId="45" fillId="0" borderId="1" xfId="0" applyNumberFormat="1" applyFont="1" applyBorder="1" applyAlignment="1">
      <alignment horizontal="center" vertical="center" wrapText="1"/>
    </xf>
    <xf numFmtId="3" fontId="45" fillId="0" borderId="1" xfId="0" applyNumberFormat="1" applyFont="1" applyBorder="1" applyAlignment="1">
      <alignment horizontal="center" vertical="center" wrapText="1"/>
    </xf>
    <xf numFmtId="3" fontId="48" fillId="5" borderId="2" xfId="0" applyNumberFormat="1" applyFont="1" applyFill="1" applyBorder="1">
      <alignment vertical="center"/>
    </xf>
    <xf numFmtId="3" fontId="48" fillId="4" borderId="1" xfId="0" applyNumberFormat="1" applyFont="1" applyFill="1" applyBorder="1">
      <alignment vertical="center"/>
    </xf>
    <xf numFmtId="177" fontId="72" fillId="0" borderId="1" xfId="0" applyNumberFormat="1" applyFont="1" applyBorder="1" applyAlignment="1">
      <alignment horizontal="center" vertical="center"/>
    </xf>
    <xf numFmtId="0" fontId="39" fillId="5" borderId="1" xfId="0" quotePrefix="1" applyFont="1" applyFill="1" applyBorder="1" applyAlignment="1">
      <alignment horizontal="center" vertical="center" wrapText="1" shrinkToFit="1"/>
    </xf>
    <xf numFmtId="178" fontId="40" fillId="7" borderId="1" xfId="0" applyNumberFormat="1" applyFont="1" applyFill="1" applyBorder="1" applyAlignment="1">
      <alignment horizontal="center" vertical="center" wrapText="1" shrinkToFit="1"/>
    </xf>
    <xf numFmtId="3" fontId="40" fillId="7" borderId="1" xfId="0" applyNumberFormat="1" applyFont="1" applyFill="1" applyBorder="1" applyAlignment="1">
      <alignment horizontal="center" vertical="center" wrapText="1" shrinkToFit="1"/>
    </xf>
    <xf numFmtId="0" fontId="0" fillId="7" borderId="1" xfId="0" applyFill="1" applyBorder="1" applyAlignment="1">
      <alignment horizontal="left" vertical="center" shrinkToFit="1"/>
    </xf>
    <xf numFmtId="3" fontId="39" fillId="7" borderId="1" xfId="0" applyNumberFormat="1" applyFont="1" applyFill="1" applyBorder="1" applyAlignment="1">
      <alignment horizontal="center" vertical="center" wrapText="1"/>
    </xf>
    <xf numFmtId="0" fontId="39" fillId="7" borderId="2" xfId="0" applyFont="1" applyFill="1" applyBorder="1" applyAlignment="1">
      <alignment horizontal="left" vertical="center" wrapText="1"/>
    </xf>
    <xf numFmtId="177" fontId="39" fillId="7" borderId="2" xfId="0" applyNumberFormat="1" applyFont="1" applyFill="1" applyBorder="1" applyAlignment="1">
      <alignment horizontal="center" vertical="center"/>
    </xf>
    <xf numFmtId="0" fontId="39" fillId="7" borderId="2" xfId="0" applyFont="1" applyFill="1" applyBorder="1" applyAlignment="1">
      <alignment horizontal="center" vertical="center" wrapText="1" shrinkToFit="1"/>
    </xf>
    <xf numFmtId="176" fontId="39" fillId="7" borderId="0" xfId="0" applyNumberFormat="1" applyFont="1" applyFill="1" applyAlignment="1">
      <alignment horizontal="right" vertical="center"/>
    </xf>
    <xf numFmtId="0" fontId="39" fillId="0" borderId="1" xfId="0" quotePrefix="1" applyFont="1" applyBorder="1" applyAlignment="1">
      <alignment horizontal="center" vertical="center" wrapText="1" shrinkToFit="1"/>
    </xf>
    <xf numFmtId="0" fontId="72" fillId="5" borderId="1" xfId="0" applyFont="1" applyFill="1" applyBorder="1" applyAlignment="1">
      <alignment horizontal="center" vertical="center" wrapText="1"/>
    </xf>
    <xf numFmtId="0" fontId="72" fillId="5" borderId="1" xfId="0" applyFont="1" applyFill="1" applyBorder="1" applyAlignment="1">
      <alignment horizontal="left" vertical="center" wrapText="1"/>
    </xf>
    <xf numFmtId="176" fontId="72" fillId="5" borderId="1" xfId="0" applyNumberFormat="1" applyFont="1" applyFill="1" applyBorder="1" applyAlignment="1">
      <alignment horizontal="right" vertical="center"/>
    </xf>
    <xf numFmtId="0" fontId="72" fillId="5" borderId="2" xfId="0" applyFont="1" applyFill="1" applyBorder="1" applyAlignment="1">
      <alignment horizontal="center" vertical="center" wrapText="1"/>
    </xf>
    <xf numFmtId="0" fontId="72" fillId="5" borderId="3" xfId="0" applyFont="1" applyFill="1" applyBorder="1" applyAlignment="1">
      <alignment horizontal="center" vertical="center" wrapText="1"/>
    </xf>
    <xf numFmtId="3" fontId="72" fillId="5" borderId="1" xfId="0" applyNumberFormat="1" applyFont="1" applyFill="1" applyBorder="1" applyAlignment="1">
      <alignment horizontal="center" vertical="center" wrapText="1"/>
    </xf>
    <xf numFmtId="0" fontId="72" fillId="5" borderId="1" xfId="0" applyFont="1" applyFill="1" applyBorder="1" applyAlignment="1">
      <alignment horizontal="center" vertical="center" wrapText="1" shrinkToFit="1"/>
    </xf>
    <xf numFmtId="0" fontId="72" fillId="5" borderId="0" xfId="0" applyFont="1" applyFill="1">
      <alignment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shrinkToFit="1"/>
    </xf>
    <xf numFmtId="0" fontId="75" fillId="0" borderId="1" xfId="0" applyFont="1" applyBorder="1" applyAlignment="1">
      <alignment horizontal="left" vertical="center" shrinkToFit="1"/>
    </xf>
    <xf numFmtId="177" fontId="75" fillId="0" borderId="1" xfId="0" applyNumberFormat="1" applyFont="1" applyBorder="1" applyAlignment="1">
      <alignment horizontal="center" vertical="center"/>
    </xf>
    <xf numFmtId="176" fontId="75" fillId="0" borderId="1" xfId="0" applyNumberFormat="1" applyFont="1" applyBorder="1" applyAlignment="1">
      <alignment horizontal="right" vertical="center"/>
    </xf>
    <xf numFmtId="38" fontId="75" fillId="0" borderId="2" xfId="0" applyNumberFormat="1" applyFont="1" applyBorder="1" applyAlignment="1">
      <alignment horizontal="center" vertical="center" shrinkToFit="1"/>
    </xf>
    <xf numFmtId="178" fontId="75" fillId="0" borderId="1" xfId="0" applyNumberFormat="1" applyFont="1" applyBorder="1" applyAlignment="1">
      <alignment horizontal="center" vertical="center" wrapText="1" shrinkToFit="1"/>
    </xf>
    <xf numFmtId="3" fontId="75" fillId="0" borderId="1" xfId="0" applyNumberFormat="1" applyFont="1" applyBorder="1" applyAlignment="1">
      <alignment horizontal="center" vertical="center" wrapText="1" shrinkToFit="1"/>
    </xf>
    <xf numFmtId="0" fontId="75" fillId="0" borderId="1" xfId="0" quotePrefix="1" applyFont="1" applyBorder="1" applyAlignment="1">
      <alignment horizontal="center" vertical="center" wrapText="1" shrinkToFit="1"/>
    </xf>
    <xf numFmtId="0" fontId="75" fillId="0" borderId="0" xfId="0" applyFont="1">
      <alignment vertical="center"/>
    </xf>
    <xf numFmtId="0" fontId="75" fillId="0" borderId="1" xfId="0" applyFont="1" applyBorder="1" applyAlignment="1">
      <alignment horizontal="center" vertical="center" wrapText="1" shrinkToFit="1"/>
    </xf>
    <xf numFmtId="0" fontId="72" fillId="5" borderId="1" xfId="0" applyFont="1" applyFill="1" applyBorder="1" applyAlignment="1">
      <alignment horizontal="center" vertical="center"/>
    </xf>
    <xf numFmtId="0" fontId="72" fillId="5" borderId="1" xfId="0" applyFont="1" applyFill="1" applyBorder="1" applyAlignment="1">
      <alignment horizontal="center" vertical="center" shrinkToFit="1"/>
    </xf>
    <xf numFmtId="0" fontId="72" fillId="5" borderId="1" xfId="0" applyFont="1" applyFill="1" applyBorder="1" applyAlignment="1">
      <alignment horizontal="left" vertical="center" shrinkToFit="1"/>
    </xf>
    <xf numFmtId="38" fontId="72" fillId="5" borderId="1" xfId="0" applyNumberFormat="1" applyFont="1" applyFill="1" applyBorder="1" applyAlignment="1">
      <alignment horizontal="center" vertical="center"/>
    </xf>
    <xf numFmtId="38" fontId="72" fillId="5" borderId="2" xfId="0" applyNumberFormat="1" applyFont="1" applyFill="1" applyBorder="1" applyAlignment="1">
      <alignment horizontal="center" vertical="center" shrinkToFit="1"/>
    </xf>
    <xf numFmtId="38" fontId="72" fillId="5" borderId="1" xfId="0" applyNumberFormat="1" applyFont="1" applyFill="1" applyBorder="1" applyAlignment="1">
      <alignment horizontal="center" vertical="center" shrinkToFit="1"/>
    </xf>
    <xf numFmtId="38" fontId="72" fillId="5" borderId="3" xfId="0" applyNumberFormat="1" applyFont="1" applyFill="1" applyBorder="1" applyAlignment="1">
      <alignment horizontal="center" vertical="center" shrinkToFit="1"/>
    </xf>
    <xf numFmtId="178" fontId="73" fillId="5" borderId="1" xfId="0" applyNumberFormat="1" applyFont="1" applyFill="1" applyBorder="1" applyAlignment="1">
      <alignment horizontal="center" vertical="center"/>
    </xf>
    <xf numFmtId="3" fontId="73" fillId="5" borderId="1" xfId="0" applyNumberFormat="1" applyFont="1" applyFill="1" applyBorder="1" applyAlignment="1">
      <alignment horizontal="center" vertical="center"/>
    </xf>
    <xf numFmtId="38" fontId="42" fillId="5" borderId="2" xfId="0" applyNumberFormat="1" applyFont="1" applyFill="1" applyBorder="1" applyAlignment="1">
      <alignment horizontal="right" vertical="center" shrinkToFit="1"/>
    </xf>
    <xf numFmtId="176" fontId="69" fillId="5" borderId="0" xfId="0" applyNumberFormat="1" applyFont="1" applyFill="1" applyAlignment="1">
      <alignment horizontal="right" vertical="center"/>
    </xf>
    <xf numFmtId="0" fontId="39" fillId="0" borderId="1" xfId="0" applyFont="1" applyBorder="1" applyAlignment="1">
      <alignment horizontal="right" vertical="center" wrapText="1"/>
    </xf>
    <xf numFmtId="0" fontId="39" fillId="0" borderId="3" xfId="0" applyFont="1" applyBorder="1" applyAlignment="1">
      <alignment horizontal="center" vertical="center" shrinkToFit="1"/>
    </xf>
    <xf numFmtId="17" fontId="39" fillId="5" borderId="1" xfId="0" applyNumberFormat="1" applyFont="1" applyFill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shrinkToFit="1"/>
    </xf>
    <xf numFmtId="0" fontId="76" fillId="0" borderId="1" xfId="0" applyFont="1" applyBorder="1" applyAlignment="1">
      <alignment horizontal="left" vertical="center" shrinkToFit="1"/>
    </xf>
    <xf numFmtId="177" fontId="76" fillId="0" borderId="1" xfId="0" applyNumberFormat="1" applyFont="1" applyBorder="1" applyAlignment="1">
      <alignment horizontal="center" vertical="center"/>
    </xf>
    <xf numFmtId="176" fontId="76" fillId="0" borderId="1" xfId="0" applyNumberFormat="1" applyFont="1" applyBorder="1" applyAlignment="1">
      <alignment horizontal="right" vertical="center"/>
    </xf>
    <xf numFmtId="178" fontId="76" fillId="0" borderId="1" xfId="0" applyNumberFormat="1" applyFont="1" applyBorder="1" applyAlignment="1">
      <alignment horizontal="center" vertical="center" wrapText="1"/>
    </xf>
    <xf numFmtId="3" fontId="76" fillId="5" borderId="1" xfId="0" applyNumberFormat="1" applyFont="1" applyFill="1" applyBorder="1" applyAlignment="1">
      <alignment horizontal="center" vertical="center" wrapText="1"/>
    </xf>
    <xf numFmtId="0" fontId="76" fillId="0" borderId="0" xfId="0" applyFont="1">
      <alignment vertical="center"/>
    </xf>
    <xf numFmtId="176" fontId="76" fillId="0" borderId="0" xfId="0" applyNumberFormat="1" applyFont="1" applyAlignment="1">
      <alignment horizontal="right" vertical="center"/>
    </xf>
    <xf numFmtId="17" fontId="76" fillId="0" borderId="1" xfId="0" applyNumberFormat="1" applyFont="1" applyBorder="1" applyAlignment="1">
      <alignment horizontal="center" vertical="center" wrapText="1"/>
    </xf>
    <xf numFmtId="176" fontId="76" fillId="5" borderId="0" xfId="0" applyNumberFormat="1" applyFont="1" applyFill="1" applyAlignment="1">
      <alignment horizontal="right" vertical="center"/>
    </xf>
    <xf numFmtId="0" fontId="77" fillId="0" borderId="0" xfId="0" applyFont="1">
      <alignment vertical="center"/>
    </xf>
    <xf numFmtId="0" fontId="37" fillId="0" borderId="1" xfId="0" applyFont="1" applyBorder="1">
      <alignment vertical="center"/>
    </xf>
    <xf numFmtId="184" fontId="37" fillId="0" borderId="1" xfId="2" applyNumberFormat="1" applyFont="1" applyFill="1" applyBorder="1">
      <alignment vertical="center"/>
    </xf>
    <xf numFmtId="17" fontId="37" fillId="0" borderId="1" xfId="0" quotePrefix="1" applyNumberFormat="1" applyFont="1" applyBorder="1" applyAlignment="1">
      <alignment horizontal="center" vertical="center"/>
    </xf>
    <xf numFmtId="181" fontId="54" fillId="0" borderId="1" xfId="1" applyNumberFormat="1" applyFont="1" applyFill="1" applyBorder="1" applyAlignment="1">
      <alignment horizontal="center" vertical="center" shrinkToFit="1"/>
    </xf>
    <xf numFmtId="181" fontId="39" fillId="0" borderId="3" xfId="1" applyNumberFormat="1" applyFont="1" applyFill="1" applyBorder="1" applyAlignment="1">
      <alignment horizontal="center" vertical="center" shrinkToFit="1"/>
    </xf>
    <xf numFmtId="181" fontId="39" fillId="5" borderId="1" xfId="1" applyNumberFormat="1" applyFont="1" applyFill="1" applyBorder="1" applyAlignment="1">
      <alignment horizontal="center" vertical="center" shrinkToFit="1"/>
    </xf>
    <xf numFmtId="181" fontId="39" fillId="0" borderId="1" xfId="1" applyNumberFormat="1" applyFont="1" applyFill="1" applyBorder="1" applyAlignment="1">
      <alignment horizontal="center" vertical="center" shrinkToFit="1"/>
    </xf>
    <xf numFmtId="181" fontId="76" fillId="0" borderId="1" xfId="1" applyNumberFormat="1" applyFont="1" applyFill="1" applyBorder="1" applyAlignment="1">
      <alignment horizontal="center" vertical="center" shrinkToFit="1"/>
    </xf>
    <xf numFmtId="181" fontId="75" fillId="0" borderId="1" xfId="1" applyNumberFormat="1" applyFont="1" applyFill="1" applyBorder="1" applyAlignment="1">
      <alignment horizontal="center" vertical="center" shrinkToFit="1"/>
    </xf>
    <xf numFmtId="181" fontId="72" fillId="0" borderId="3" xfId="1" applyNumberFormat="1" applyFont="1" applyFill="1" applyBorder="1" applyAlignment="1">
      <alignment horizontal="center" vertical="center" shrinkToFit="1"/>
    </xf>
    <xf numFmtId="181" fontId="0" fillId="0" borderId="0" xfId="1" applyNumberFormat="1" applyFont="1">
      <alignment vertical="center"/>
    </xf>
    <xf numFmtId="0" fontId="39" fillId="7" borderId="0" xfId="0" applyFont="1" applyFill="1" applyAlignment="1">
      <alignment horizontal="center" vertical="center" shrinkToFit="1"/>
    </xf>
    <xf numFmtId="177" fontId="39" fillId="7" borderId="1" xfId="0" applyNumberFormat="1" applyFont="1" applyFill="1" applyBorder="1" applyAlignment="1">
      <alignment horizontal="left" vertical="center" wrapText="1"/>
    </xf>
    <xf numFmtId="0" fontId="39" fillId="9" borderId="1" xfId="0" applyFont="1" applyFill="1" applyBorder="1" applyAlignment="1">
      <alignment horizontal="center" vertical="center"/>
    </xf>
    <xf numFmtId="178" fontId="37" fillId="6" borderId="2" xfId="0" applyNumberFormat="1" applyFont="1" applyFill="1" applyBorder="1" applyAlignment="1">
      <alignment horizontal="center" vertical="center" shrinkToFit="1"/>
    </xf>
    <xf numFmtId="178" fontId="72" fillId="5" borderId="1" xfId="0" applyNumberFormat="1" applyFont="1" applyFill="1" applyBorder="1" applyAlignment="1">
      <alignment horizontal="center" vertical="center" wrapText="1"/>
    </xf>
    <xf numFmtId="178" fontId="39" fillId="5" borderId="2" xfId="0" applyNumberFormat="1" applyFont="1" applyFill="1" applyBorder="1" applyAlignment="1">
      <alignment horizontal="center" vertical="center" shrinkToFit="1"/>
    </xf>
    <xf numFmtId="2" fontId="39" fillId="7" borderId="1" xfId="0" applyNumberFormat="1" applyFont="1" applyFill="1" applyBorder="1" applyAlignment="1">
      <alignment horizontal="center" vertical="center" wrapText="1"/>
    </xf>
    <xf numFmtId="0" fontId="74" fillId="0" borderId="6" xfId="0" applyFont="1" applyBorder="1" applyAlignment="1">
      <alignment horizontal="center" vertical="center"/>
    </xf>
    <xf numFmtId="0" fontId="74" fillId="0" borderId="6" xfId="0" applyFont="1" applyBorder="1" applyAlignment="1">
      <alignment horizontal="left" vertical="center"/>
    </xf>
    <xf numFmtId="0" fontId="39" fillId="10" borderId="1" xfId="0" applyFont="1" applyFill="1" applyBorder="1" applyAlignment="1">
      <alignment horizontal="center" vertical="center"/>
    </xf>
    <xf numFmtId="38" fontId="39" fillId="10" borderId="2" xfId="0" applyNumberFormat="1" applyFont="1" applyFill="1" applyBorder="1" applyAlignment="1">
      <alignment horizontal="center" vertical="center" shrinkToFit="1"/>
    </xf>
    <xf numFmtId="0" fontId="39" fillId="0" borderId="2" xfId="0" applyFont="1" applyBorder="1" applyAlignment="1">
      <alignment horizontal="center" vertical="center"/>
    </xf>
    <xf numFmtId="0" fontId="72" fillId="5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39" fillId="5" borderId="2" xfId="0" applyFont="1" applyFill="1" applyBorder="1" applyAlignment="1">
      <alignment horizontal="center" vertical="center"/>
    </xf>
    <xf numFmtId="0" fontId="40" fillId="5" borderId="2" xfId="0" applyFont="1" applyFill="1" applyBorder="1" applyAlignment="1">
      <alignment horizontal="center" vertical="center"/>
    </xf>
    <xf numFmtId="0" fontId="37" fillId="6" borderId="2" xfId="0" applyFont="1" applyFill="1" applyBorder="1" applyAlignment="1">
      <alignment horizontal="center" vertical="center"/>
    </xf>
    <xf numFmtId="0" fontId="72" fillId="0" borderId="2" xfId="0" applyFont="1" applyBorder="1" applyAlignment="1">
      <alignment horizontal="center" vertical="center"/>
    </xf>
    <xf numFmtId="0" fontId="69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40" fillId="6" borderId="2" xfId="0" applyFont="1" applyFill="1" applyBorder="1" applyAlignment="1">
      <alignment horizontal="center" vertical="center"/>
    </xf>
    <xf numFmtId="0" fontId="76" fillId="0" borderId="2" xfId="0" applyFont="1" applyBorder="1" applyAlignment="1">
      <alignment horizontal="center" vertical="center"/>
    </xf>
    <xf numFmtId="0" fontId="75" fillId="0" borderId="2" xfId="0" applyFont="1" applyBorder="1" applyAlignment="1">
      <alignment horizontal="center" vertical="center"/>
    </xf>
    <xf numFmtId="0" fontId="39" fillId="0" borderId="1" xfId="0" applyFont="1" applyBorder="1">
      <alignment vertical="center"/>
    </xf>
    <xf numFmtId="0" fontId="72" fillId="5" borderId="1" xfId="0" applyFont="1" applyFill="1" applyBorder="1">
      <alignment vertical="center"/>
    </xf>
    <xf numFmtId="0" fontId="40" fillId="0" borderId="1" xfId="0" applyFont="1" applyBorder="1">
      <alignment vertical="center"/>
    </xf>
    <xf numFmtId="0" fontId="39" fillId="5" borderId="1" xfId="0" applyFont="1" applyFill="1" applyBorder="1">
      <alignment vertical="center"/>
    </xf>
    <xf numFmtId="0" fontId="40" fillId="5" borderId="1" xfId="0" applyFont="1" applyFill="1" applyBorder="1">
      <alignment vertical="center"/>
    </xf>
    <xf numFmtId="0" fontId="37" fillId="6" borderId="1" xfId="0" applyFont="1" applyFill="1" applyBorder="1">
      <alignment vertical="center"/>
    </xf>
    <xf numFmtId="0" fontId="72" fillId="0" borderId="1" xfId="0" applyFont="1" applyBorder="1">
      <alignment vertical="center"/>
    </xf>
    <xf numFmtId="0" fontId="69" fillId="0" borderId="1" xfId="0" applyFont="1" applyBorder="1">
      <alignment vertical="center"/>
    </xf>
    <xf numFmtId="0" fontId="40" fillId="6" borderId="1" xfId="0" applyFont="1" applyFill="1" applyBorder="1">
      <alignment vertical="center"/>
    </xf>
    <xf numFmtId="0" fontId="76" fillId="0" borderId="1" xfId="0" applyFont="1" applyBorder="1">
      <alignment vertical="center"/>
    </xf>
    <xf numFmtId="0" fontId="54" fillId="0" borderId="1" xfId="0" applyFont="1" applyBorder="1">
      <alignment vertical="center"/>
    </xf>
    <xf numFmtId="0" fontId="75" fillId="0" borderId="1" xfId="0" applyFont="1" applyBorder="1">
      <alignment vertical="center"/>
    </xf>
    <xf numFmtId="0" fontId="0" fillId="5" borderId="0" xfId="0" applyFill="1">
      <alignment vertical="center"/>
    </xf>
    <xf numFmtId="0" fontId="75" fillId="5" borderId="0" xfId="0" applyFont="1" applyFill="1">
      <alignment vertical="center"/>
    </xf>
    <xf numFmtId="0" fontId="78" fillId="0" borderId="0" xfId="0" applyFont="1">
      <alignment vertical="center"/>
    </xf>
    <xf numFmtId="176" fontId="72" fillId="0" borderId="1" xfId="0" applyNumberFormat="1" applyFont="1" applyBorder="1" applyAlignment="1">
      <alignment horizontal="center" vertical="center"/>
    </xf>
    <xf numFmtId="38" fontId="39" fillId="0" borderId="2" xfId="0" applyNumberFormat="1" applyFont="1" applyBorder="1" applyAlignment="1">
      <alignment horizontal="left" vertical="center" shrinkToFit="1"/>
    </xf>
    <xf numFmtId="0" fontId="39" fillId="0" borderId="2" xfId="0" applyFont="1" applyBorder="1" applyAlignment="1">
      <alignment horizontal="center" vertical="center" shrinkToFit="1"/>
    </xf>
    <xf numFmtId="0" fontId="44" fillId="7" borderId="1" xfId="0" applyFont="1" applyFill="1" applyBorder="1" applyAlignment="1">
      <alignment horizontal="left" vertical="center" shrinkToFit="1"/>
    </xf>
    <xf numFmtId="178" fontId="44" fillId="7" borderId="1" xfId="0" applyNumberFormat="1" applyFont="1" applyFill="1" applyBorder="1" applyAlignment="1">
      <alignment horizontal="center" vertical="center" wrapText="1" shrinkToFit="1"/>
    </xf>
    <xf numFmtId="176" fontId="39" fillId="0" borderId="2" xfId="0" applyNumberFormat="1" applyFont="1" applyBorder="1" applyAlignment="1">
      <alignment horizontal="right" vertical="center"/>
    </xf>
    <xf numFmtId="3" fontId="48" fillId="7" borderId="2" xfId="0" applyNumberFormat="1" applyFont="1" applyFill="1" applyBorder="1">
      <alignment vertical="center"/>
    </xf>
    <xf numFmtId="177" fontId="72" fillId="5" borderId="1" xfId="0" applyNumberFormat="1" applyFont="1" applyFill="1" applyBorder="1" applyAlignment="1">
      <alignment horizontal="center" vertical="center"/>
    </xf>
    <xf numFmtId="176" fontId="39" fillId="7" borderId="2" xfId="0" applyNumberFormat="1" applyFont="1" applyFill="1" applyBorder="1" applyAlignment="1">
      <alignment horizontal="right" vertical="center"/>
    </xf>
    <xf numFmtId="38" fontId="57" fillId="0" borderId="1" xfId="0" applyNumberFormat="1" applyFont="1" applyBorder="1" applyAlignment="1">
      <alignment horizontal="center" vertical="center" shrinkToFit="1"/>
    </xf>
    <xf numFmtId="0" fontId="57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shrinkToFit="1"/>
    </xf>
    <xf numFmtId="0" fontId="57" fillId="0" borderId="1" xfId="0" applyFont="1" applyBorder="1" applyAlignment="1">
      <alignment horizontal="center" vertical="center"/>
    </xf>
    <xf numFmtId="177" fontId="57" fillId="0" borderId="1" xfId="0" applyNumberFormat="1" applyFont="1" applyBorder="1" applyAlignment="1">
      <alignment horizontal="center" vertical="center"/>
    </xf>
    <xf numFmtId="176" fontId="57" fillId="0" borderId="1" xfId="0" applyNumberFormat="1" applyFont="1" applyBorder="1" applyAlignment="1">
      <alignment horizontal="right" vertical="center"/>
    </xf>
    <xf numFmtId="178" fontId="57" fillId="0" borderId="1" xfId="0" applyNumberFormat="1" applyFont="1" applyBorder="1" applyAlignment="1">
      <alignment horizontal="center" vertical="center" wrapText="1"/>
    </xf>
    <xf numFmtId="3" fontId="57" fillId="0" borderId="1" xfId="0" applyNumberFormat="1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7" fillId="0" borderId="1" xfId="0" applyFont="1" applyBorder="1">
      <alignment vertical="center"/>
    </xf>
    <xf numFmtId="0" fontId="57" fillId="0" borderId="0" xfId="0" applyFont="1">
      <alignment vertical="center"/>
    </xf>
    <xf numFmtId="176" fontId="69" fillId="5" borderId="1" xfId="0" applyNumberFormat="1" applyFont="1" applyFill="1" applyBorder="1" applyAlignment="1">
      <alignment horizontal="right" vertical="center"/>
    </xf>
    <xf numFmtId="0" fontId="69" fillId="5" borderId="1" xfId="0" applyFont="1" applyFill="1" applyBorder="1" applyAlignment="1">
      <alignment horizontal="center" vertical="center" shrinkToFit="1"/>
    </xf>
    <xf numFmtId="0" fontId="39" fillId="9" borderId="1" xfId="0" applyFont="1" applyFill="1" applyBorder="1" applyAlignment="1">
      <alignment horizontal="center" vertical="center" shrinkToFit="1"/>
    </xf>
    <xf numFmtId="0" fontId="39" fillId="7" borderId="1" xfId="0" applyFont="1" applyFill="1" applyBorder="1" applyAlignment="1">
      <alignment horizontal="left" vertical="center" wrapText="1"/>
    </xf>
    <xf numFmtId="178" fontId="39" fillId="0" borderId="1" xfId="0" applyNumberFormat="1" applyFont="1" applyBorder="1" applyAlignment="1">
      <alignment horizontal="center" vertical="center" shrinkToFit="1"/>
    </xf>
    <xf numFmtId="3" fontId="39" fillId="0" borderId="1" xfId="0" applyNumberFormat="1" applyFont="1" applyBorder="1" applyAlignment="1">
      <alignment horizontal="center" vertical="center" wrapText="1"/>
    </xf>
    <xf numFmtId="178" fontId="37" fillId="0" borderId="2" xfId="0" applyNumberFormat="1" applyFont="1" applyBorder="1" applyAlignment="1">
      <alignment horizontal="center" vertical="center" shrinkToFit="1"/>
    </xf>
    <xf numFmtId="176" fontId="43" fillId="5" borderId="1" xfId="0" applyNumberFormat="1" applyFont="1" applyFill="1" applyBorder="1" applyAlignment="1">
      <alignment horizontal="right" vertical="center"/>
    </xf>
    <xf numFmtId="38" fontId="43" fillId="5" borderId="2" xfId="0" applyNumberFormat="1" applyFont="1" applyFill="1" applyBorder="1" applyAlignment="1">
      <alignment horizontal="center" vertical="center" shrinkToFit="1"/>
    </xf>
    <xf numFmtId="176" fontId="57" fillId="4" borderId="1" xfId="0" applyNumberFormat="1" applyFont="1" applyFill="1" applyBorder="1" applyAlignment="1">
      <alignment horizontal="right" vertical="center"/>
    </xf>
    <xf numFmtId="176" fontId="54" fillId="4" borderId="1" xfId="0" applyNumberFormat="1" applyFont="1" applyFill="1" applyBorder="1" applyAlignment="1">
      <alignment horizontal="right" vertical="center"/>
    </xf>
    <xf numFmtId="176" fontId="80" fillId="0" borderId="1" xfId="0" applyNumberFormat="1" applyFont="1" applyBorder="1" applyAlignment="1">
      <alignment horizontal="right" vertical="center"/>
    </xf>
    <xf numFmtId="178" fontId="40" fillId="0" borderId="1" xfId="0" applyNumberFormat="1" applyFont="1" applyBorder="1" applyAlignment="1">
      <alignment horizontal="center" vertical="center" wrapText="1" shrinkToFit="1"/>
    </xf>
    <xf numFmtId="3" fontId="40" fillId="0" borderId="1" xfId="0" applyNumberFormat="1" applyFont="1" applyBorder="1" applyAlignment="1">
      <alignment horizontal="center" vertical="center" wrapText="1" shrinkToFit="1"/>
    </xf>
    <xf numFmtId="0" fontId="37" fillId="0" borderId="2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57" fillId="0" borderId="1" xfId="0" applyFont="1" applyBorder="1" applyAlignment="1">
      <alignment horizontal="left" vertical="center" shrinkToFit="1"/>
    </xf>
    <xf numFmtId="0" fontId="48" fillId="0" borderId="1" xfId="0" applyFont="1" applyBorder="1" applyAlignment="1">
      <alignment horizontal="center" vertical="center" shrinkToFit="1"/>
    </xf>
    <xf numFmtId="38" fontId="39" fillId="5" borderId="3" xfId="0" applyNumberFormat="1" applyFont="1" applyFill="1" applyBorder="1" applyAlignment="1">
      <alignment horizontal="center" vertical="center" shrinkToFit="1"/>
    </xf>
    <xf numFmtId="178" fontId="45" fillId="5" borderId="1" xfId="0" applyNumberFormat="1" applyFont="1" applyFill="1" applyBorder="1" applyAlignment="1">
      <alignment horizontal="center" vertical="center"/>
    </xf>
    <xf numFmtId="3" fontId="45" fillId="5" borderId="1" xfId="0" applyNumberFormat="1" applyFont="1" applyFill="1" applyBorder="1" applyAlignment="1">
      <alignment horizontal="center" vertical="center"/>
    </xf>
    <xf numFmtId="0" fontId="72" fillId="0" borderId="1" xfId="0" applyFont="1" applyBorder="1" applyAlignment="1">
      <alignment horizontal="left" vertical="center" wrapText="1"/>
    </xf>
    <xf numFmtId="178" fontId="39" fillId="7" borderId="1" xfId="0" applyNumberFormat="1" applyFont="1" applyFill="1" applyBorder="1" applyAlignment="1">
      <alignment horizontal="center" vertical="center"/>
    </xf>
    <xf numFmtId="3" fontId="39" fillId="7" borderId="1" xfId="0" applyNumberFormat="1" applyFont="1" applyFill="1" applyBorder="1" applyAlignment="1">
      <alignment horizontal="center" vertical="center"/>
    </xf>
    <xf numFmtId="0" fontId="39" fillId="7" borderId="3" xfId="0" applyFont="1" applyFill="1" applyBorder="1">
      <alignment vertical="center"/>
    </xf>
    <xf numFmtId="3" fontId="48" fillId="5" borderId="2" xfId="0" applyNumberFormat="1" applyFont="1" applyFill="1" applyBorder="1" applyAlignment="1">
      <alignment horizontal="right" vertical="center"/>
    </xf>
    <xf numFmtId="38" fontId="37" fillId="0" borderId="2" xfId="0" applyNumberFormat="1" applyFont="1" applyBorder="1" applyAlignment="1">
      <alignment horizontal="right" vertical="center" shrinkToFit="1"/>
    </xf>
    <xf numFmtId="0" fontId="0" fillId="0" borderId="1" xfId="0" applyBorder="1" applyAlignment="1">
      <alignment horizontal="left" vertical="center" shrinkToFit="1"/>
    </xf>
    <xf numFmtId="178" fontId="39" fillId="5" borderId="1" xfId="0" applyNumberFormat="1" applyFont="1" applyFill="1" applyBorder="1" applyAlignment="1">
      <alignment horizontal="center" vertical="center"/>
    </xf>
    <xf numFmtId="3" fontId="39" fillId="5" borderId="1" xfId="0" applyNumberFormat="1" applyFont="1" applyFill="1" applyBorder="1" applyAlignment="1">
      <alignment horizontal="center" vertical="center"/>
    </xf>
    <xf numFmtId="0" fontId="39" fillId="9" borderId="1" xfId="0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left" vertical="center" shrinkToFit="1"/>
    </xf>
    <xf numFmtId="176" fontId="39" fillId="9" borderId="1" xfId="0" applyNumberFormat="1" applyFont="1" applyFill="1" applyBorder="1" applyAlignment="1">
      <alignment horizontal="right" vertical="center"/>
    </xf>
    <xf numFmtId="0" fontId="39" fillId="9" borderId="1" xfId="0" applyFont="1" applyFill="1" applyBorder="1">
      <alignment vertical="center"/>
    </xf>
    <xf numFmtId="0" fontId="39" fillId="9" borderId="0" xfId="0" applyFont="1" applyFill="1">
      <alignment vertical="center"/>
    </xf>
    <xf numFmtId="176" fontId="72" fillId="5" borderId="0" xfId="0" applyNumberFormat="1" applyFont="1" applyFill="1" applyAlignment="1">
      <alignment horizontal="right" vertical="center"/>
    </xf>
    <xf numFmtId="38" fontId="39" fillId="7" borderId="2" xfId="0" applyNumberFormat="1" applyFont="1" applyFill="1" applyBorder="1" applyAlignment="1">
      <alignment horizontal="left" vertical="center" shrinkToFit="1"/>
    </xf>
    <xf numFmtId="38" fontId="39" fillId="7" borderId="2" xfId="0" applyNumberFormat="1" applyFont="1" applyFill="1" applyBorder="1" applyAlignment="1">
      <alignment horizontal="right" vertical="center" shrinkToFit="1"/>
    </xf>
    <xf numFmtId="178" fontId="39" fillId="7" borderId="2" xfId="0" applyNumberFormat="1" applyFont="1" applyFill="1" applyBorder="1" applyAlignment="1">
      <alignment horizontal="center" vertical="center" shrinkToFit="1"/>
    </xf>
    <xf numFmtId="178" fontId="39" fillId="7" borderId="1" xfId="0" applyNumberFormat="1" applyFont="1" applyFill="1" applyBorder="1" applyAlignment="1">
      <alignment horizontal="center" vertical="center" shrinkToFit="1"/>
    </xf>
    <xf numFmtId="38" fontId="37" fillId="7" borderId="2" xfId="0" applyNumberFormat="1" applyFont="1" applyFill="1" applyBorder="1" applyAlignment="1">
      <alignment horizontal="left" vertical="center" shrinkToFit="1"/>
    </xf>
    <xf numFmtId="178" fontId="37" fillId="7" borderId="2" xfId="0" applyNumberFormat="1" applyFont="1" applyFill="1" applyBorder="1" applyAlignment="1">
      <alignment horizontal="center" vertical="center" shrinkToFit="1"/>
    </xf>
    <xf numFmtId="178" fontId="45" fillId="0" borderId="1" xfId="0" applyNumberFormat="1" applyFont="1" applyBorder="1" applyAlignment="1">
      <alignment horizontal="center" vertical="center"/>
    </xf>
    <xf numFmtId="3" fontId="45" fillId="0" borderId="1" xfId="0" applyNumberFormat="1" applyFont="1" applyBorder="1" applyAlignment="1">
      <alignment horizontal="center" vertical="center"/>
    </xf>
    <xf numFmtId="0" fontId="39" fillId="5" borderId="2" xfId="0" applyFont="1" applyFill="1" applyBorder="1" applyAlignment="1">
      <alignment horizontal="left" vertical="center" shrinkToFit="1"/>
    </xf>
    <xf numFmtId="38" fontId="39" fillId="5" borderId="2" xfId="0" applyNumberFormat="1" applyFont="1" applyFill="1" applyBorder="1" applyAlignment="1">
      <alignment horizontal="center" vertical="center"/>
    </xf>
    <xf numFmtId="178" fontId="45" fillId="5" borderId="2" xfId="0" applyNumberFormat="1" applyFont="1" applyFill="1" applyBorder="1" applyAlignment="1">
      <alignment horizontal="center" vertical="center"/>
    </xf>
    <xf numFmtId="3" fontId="45" fillId="5" borderId="2" xfId="0" applyNumberFormat="1" applyFont="1" applyFill="1" applyBorder="1" applyAlignment="1">
      <alignment horizontal="center" vertical="center"/>
    </xf>
    <xf numFmtId="0" fontId="85" fillId="5" borderId="1" xfId="0" applyFont="1" applyFill="1" applyBorder="1" applyAlignment="1">
      <alignment horizontal="center" vertical="center" wrapText="1"/>
    </xf>
    <xf numFmtId="178" fontId="45" fillId="0" borderId="1" xfId="0" applyNumberFormat="1" applyFont="1" applyBorder="1" applyAlignment="1">
      <alignment horizontal="center" vertical="center" wrapText="1" shrinkToFit="1"/>
    </xf>
    <xf numFmtId="3" fontId="45" fillId="0" borderId="1" xfId="0" applyNumberFormat="1" applyFont="1" applyBorder="1" applyAlignment="1">
      <alignment horizontal="center" vertical="center" wrapText="1" shrinkToFit="1"/>
    </xf>
    <xf numFmtId="177" fontId="37" fillId="0" borderId="1" xfId="0" quotePrefix="1" applyNumberFormat="1" applyFont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 wrapText="1" shrinkToFit="1"/>
    </xf>
    <xf numFmtId="0" fontId="86" fillId="0" borderId="0" xfId="0" applyFont="1">
      <alignment vertical="center"/>
    </xf>
    <xf numFmtId="177" fontId="45" fillId="9" borderId="1" xfId="0" applyNumberFormat="1" applyFont="1" applyFill="1" applyBorder="1" applyAlignment="1">
      <alignment horizontal="center" vertical="center"/>
    </xf>
    <xf numFmtId="184" fontId="17" fillId="9" borderId="1" xfId="0" applyNumberFormat="1" applyFont="1" applyFill="1" applyBorder="1">
      <alignment vertical="center"/>
    </xf>
    <xf numFmtId="3" fontId="48" fillId="5" borderId="1" xfId="0" applyNumberFormat="1" applyFont="1" applyFill="1" applyBorder="1">
      <alignment vertical="center"/>
    </xf>
    <xf numFmtId="177" fontId="39" fillId="9" borderId="1" xfId="0" applyNumberFormat="1" applyFont="1" applyFill="1" applyBorder="1" applyAlignment="1">
      <alignment horizontal="center" vertical="center"/>
    </xf>
    <xf numFmtId="178" fontId="39" fillId="9" borderId="1" xfId="0" applyNumberFormat="1" applyFont="1" applyFill="1" applyBorder="1" applyAlignment="1">
      <alignment horizontal="center" vertical="center" wrapText="1"/>
    </xf>
    <xf numFmtId="3" fontId="39" fillId="9" borderId="1" xfId="0" applyNumberFormat="1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left" vertical="center"/>
    </xf>
    <xf numFmtId="0" fontId="48" fillId="9" borderId="1" xfId="0" applyFont="1" applyFill="1" applyBorder="1" applyAlignment="1">
      <alignment horizontal="center" vertical="center" shrinkToFit="1"/>
    </xf>
    <xf numFmtId="0" fontId="48" fillId="9" borderId="1" xfId="0" applyFont="1" applyFill="1" applyBorder="1" applyAlignment="1">
      <alignment horizontal="center" vertical="center" wrapText="1"/>
    </xf>
    <xf numFmtId="0" fontId="37" fillId="5" borderId="2" xfId="0" applyFont="1" applyFill="1" applyBorder="1" applyAlignment="1">
      <alignment horizontal="center" vertical="center"/>
    </xf>
    <xf numFmtId="0" fontId="37" fillId="5" borderId="1" xfId="0" applyFont="1" applyFill="1" applyBorder="1">
      <alignment vertical="center"/>
    </xf>
    <xf numFmtId="0" fontId="37" fillId="0" borderId="1" xfId="0" applyFont="1" applyBorder="1" applyAlignment="1">
      <alignment horizontal="center" vertical="center" wrapText="1" shrinkToFit="1"/>
    </xf>
    <xf numFmtId="0" fontId="39" fillId="0" borderId="1" xfId="0" applyFont="1" applyBorder="1" applyAlignment="1">
      <alignment horizontal="left" vertical="center" wrapText="1" shrinkToFit="1"/>
    </xf>
    <xf numFmtId="38" fontId="39" fillId="5" borderId="3" xfId="0" applyNumberFormat="1" applyFont="1" applyFill="1" applyBorder="1" applyAlignment="1">
      <alignment horizontal="center" vertical="center" wrapText="1" shrinkToFit="1"/>
    </xf>
    <xf numFmtId="0" fontId="39" fillId="11" borderId="1" xfId="0" applyFont="1" applyFill="1" applyBorder="1" applyAlignment="1">
      <alignment horizontal="center" vertical="center"/>
    </xf>
    <xf numFmtId="0" fontId="39" fillId="11" borderId="1" xfId="0" applyFont="1" applyFill="1" applyBorder="1" applyAlignment="1">
      <alignment horizontal="center" vertical="center" wrapText="1"/>
    </xf>
    <xf numFmtId="0" fontId="48" fillId="11" borderId="1" xfId="0" applyFont="1" applyFill="1" applyBorder="1" applyAlignment="1">
      <alignment horizontal="center" vertical="center" shrinkToFit="1"/>
    </xf>
    <xf numFmtId="0" fontId="39" fillId="11" borderId="1" xfId="0" applyFont="1" applyFill="1" applyBorder="1" applyAlignment="1">
      <alignment horizontal="center" vertical="center" shrinkToFit="1"/>
    </xf>
    <xf numFmtId="0" fontId="39" fillId="11" borderId="1" xfId="0" applyFont="1" applyFill="1" applyBorder="1" applyAlignment="1">
      <alignment horizontal="left" vertical="center" shrinkToFit="1"/>
    </xf>
    <xf numFmtId="177" fontId="39" fillId="11" borderId="1" xfId="0" applyNumberFormat="1" applyFont="1" applyFill="1" applyBorder="1" applyAlignment="1">
      <alignment horizontal="center" vertical="center"/>
    </xf>
    <xf numFmtId="176" fontId="39" fillId="11" borderId="1" xfId="0" applyNumberFormat="1" applyFont="1" applyFill="1" applyBorder="1" applyAlignment="1">
      <alignment horizontal="right" vertical="center"/>
    </xf>
    <xf numFmtId="3" fontId="48" fillId="11" borderId="2" xfId="0" applyNumberFormat="1" applyFont="1" applyFill="1" applyBorder="1">
      <alignment vertical="center"/>
    </xf>
    <xf numFmtId="0" fontId="48" fillId="11" borderId="1" xfId="0" applyFont="1" applyFill="1" applyBorder="1" applyAlignment="1">
      <alignment horizontal="center" vertical="center" wrapText="1"/>
    </xf>
    <xf numFmtId="178" fontId="39" fillId="11" borderId="1" xfId="0" applyNumberFormat="1" applyFont="1" applyFill="1" applyBorder="1" applyAlignment="1">
      <alignment horizontal="center" vertical="center" wrapText="1"/>
    </xf>
    <xf numFmtId="3" fontId="39" fillId="11" borderId="1" xfId="0" applyNumberFormat="1" applyFont="1" applyFill="1" applyBorder="1" applyAlignment="1">
      <alignment horizontal="center" vertical="center" wrapText="1" shrinkToFit="1"/>
    </xf>
    <xf numFmtId="0" fontId="39" fillId="11" borderId="0" xfId="0" applyFont="1" applyFill="1">
      <alignment vertical="center"/>
    </xf>
    <xf numFmtId="176" fontId="39" fillId="11" borderId="0" xfId="0" applyNumberFormat="1" applyFont="1" applyFill="1" applyAlignment="1">
      <alignment horizontal="right" vertical="center"/>
    </xf>
    <xf numFmtId="3" fontId="39" fillId="11" borderId="1" xfId="0" applyNumberFormat="1" applyFont="1" applyFill="1" applyBorder="1" applyAlignment="1">
      <alignment horizontal="center" vertical="center" wrapText="1"/>
    </xf>
    <xf numFmtId="38" fontId="39" fillId="11" borderId="1" xfId="0" applyNumberFormat="1" applyFont="1" applyFill="1" applyBorder="1" applyAlignment="1">
      <alignment horizontal="center" vertical="center"/>
    </xf>
    <xf numFmtId="178" fontId="39" fillId="11" borderId="1" xfId="0" applyNumberFormat="1" applyFont="1" applyFill="1" applyBorder="1" applyAlignment="1">
      <alignment horizontal="center" vertical="center" wrapText="1" shrinkToFit="1"/>
    </xf>
    <xf numFmtId="0" fontId="37" fillId="11" borderId="1" xfId="0" applyFont="1" applyFill="1" applyBorder="1" applyAlignment="1">
      <alignment horizontal="center" vertical="center" shrinkToFit="1"/>
    </xf>
    <xf numFmtId="0" fontId="37" fillId="11" borderId="1" xfId="0" applyFont="1" applyFill="1" applyBorder="1" applyAlignment="1">
      <alignment horizontal="left" vertical="center" shrinkToFit="1"/>
    </xf>
    <xf numFmtId="176" fontId="37" fillId="11" borderId="1" xfId="0" applyNumberFormat="1" applyFont="1" applyFill="1" applyBorder="1" applyAlignment="1">
      <alignment horizontal="right" vertical="center"/>
    </xf>
    <xf numFmtId="178" fontId="37" fillId="11" borderId="1" xfId="0" applyNumberFormat="1" applyFont="1" applyFill="1" applyBorder="1" applyAlignment="1">
      <alignment horizontal="center" vertical="center" shrinkToFit="1"/>
    </xf>
    <xf numFmtId="0" fontId="47" fillId="11" borderId="0" xfId="0" applyFont="1" applyFill="1">
      <alignment vertical="center"/>
    </xf>
    <xf numFmtId="38" fontId="37" fillId="7" borderId="2" xfId="0" applyNumberFormat="1" applyFont="1" applyFill="1" applyBorder="1" applyAlignment="1">
      <alignment horizontal="right" vertical="center" shrinkToFit="1"/>
    </xf>
    <xf numFmtId="3" fontId="87" fillId="7" borderId="2" xfId="0" applyNumberFormat="1" applyFont="1" applyFill="1" applyBorder="1">
      <alignment vertical="center"/>
    </xf>
    <xf numFmtId="17" fontId="39" fillId="5" borderId="1" xfId="0" quotePrefix="1" applyNumberFormat="1" applyFont="1" applyFill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0" fontId="94" fillId="0" borderId="1" xfId="0" applyFont="1" applyBorder="1" applyAlignment="1">
      <alignment horizontal="center" vertical="center" shrinkToFit="1"/>
    </xf>
    <xf numFmtId="0" fontId="94" fillId="5" borderId="1" xfId="0" applyFont="1" applyFill="1" applyBorder="1" applyAlignment="1">
      <alignment horizontal="center" vertical="center"/>
    </xf>
    <xf numFmtId="0" fontId="94" fillId="5" borderId="1" xfId="0" applyFont="1" applyFill="1" applyBorder="1" applyAlignment="1">
      <alignment horizontal="left" vertical="center" shrinkToFit="1"/>
    </xf>
    <xf numFmtId="177" fontId="94" fillId="5" borderId="1" xfId="0" applyNumberFormat="1" applyFont="1" applyFill="1" applyBorder="1" applyAlignment="1">
      <alignment horizontal="center" vertical="center"/>
    </xf>
    <xf numFmtId="176" fontId="94" fillId="5" borderId="1" xfId="0" applyNumberFormat="1" applyFont="1" applyFill="1" applyBorder="1" applyAlignment="1">
      <alignment horizontal="right" vertical="center"/>
    </xf>
    <xf numFmtId="178" fontId="94" fillId="0" borderId="1" xfId="0" applyNumberFormat="1" applyFont="1" applyBorder="1" applyAlignment="1">
      <alignment horizontal="center" vertical="center" wrapText="1"/>
    </xf>
    <xf numFmtId="3" fontId="94" fillId="0" borderId="1" xfId="0" applyNumberFormat="1" applyFont="1" applyBorder="1" applyAlignment="1">
      <alignment horizontal="center" vertical="center" wrapText="1"/>
    </xf>
    <xf numFmtId="0" fontId="94" fillId="0" borderId="1" xfId="0" applyFont="1" applyBorder="1">
      <alignment vertical="center"/>
    </xf>
    <xf numFmtId="0" fontId="94" fillId="0" borderId="0" xfId="0" applyFont="1">
      <alignment vertical="center"/>
    </xf>
    <xf numFmtId="176" fontId="94" fillId="0" borderId="0" xfId="0" applyNumberFormat="1" applyFont="1" applyAlignment="1">
      <alignment horizontal="right" vertical="center"/>
    </xf>
    <xf numFmtId="176" fontId="56" fillId="0" borderId="1" xfId="0" applyNumberFormat="1" applyFont="1" applyBorder="1" applyAlignment="1">
      <alignment horizontal="center" vertical="center" shrinkToFit="1"/>
    </xf>
    <xf numFmtId="2" fontId="39" fillId="5" borderId="1" xfId="0" applyNumberFormat="1" applyFont="1" applyFill="1" applyBorder="1" applyAlignment="1">
      <alignment horizontal="center" vertical="center" wrapText="1"/>
    </xf>
    <xf numFmtId="38" fontId="47" fillId="5" borderId="2" xfId="0" applyNumberFormat="1" applyFont="1" applyFill="1" applyBorder="1" applyAlignment="1">
      <alignment horizontal="center" vertical="center" wrapText="1" shrinkToFit="1"/>
    </xf>
    <xf numFmtId="0" fontId="40" fillId="4" borderId="2" xfId="0" applyFont="1" applyFill="1" applyBorder="1" applyAlignment="1">
      <alignment horizontal="center" vertical="center" wrapText="1" shrinkToFit="1"/>
    </xf>
    <xf numFmtId="0" fontId="58" fillId="7" borderId="2" xfId="0" applyFont="1" applyFill="1" applyBorder="1">
      <alignment vertical="center"/>
    </xf>
    <xf numFmtId="0" fontId="49" fillId="7" borderId="4" xfId="0" applyFont="1" applyFill="1" applyBorder="1" applyAlignment="1">
      <alignment horizontal="center" vertical="center" wrapText="1"/>
    </xf>
    <xf numFmtId="0" fontId="49" fillId="7" borderId="2" xfId="0" applyFont="1" applyFill="1" applyBorder="1" applyAlignment="1">
      <alignment horizontal="center" vertical="center" wrapText="1"/>
    </xf>
    <xf numFmtId="0" fontId="61" fillId="7" borderId="2" xfId="0" applyFont="1" applyFill="1" applyBorder="1" applyAlignment="1">
      <alignment horizontal="center" vertical="center" wrapText="1" shrinkToFit="1"/>
    </xf>
    <xf numFmtId="0" fontId="49" fillId="7" borderId="2" xfId="0" applyFont="1" applyFill="1" applyBorder="1" applyAlignment="1">
      <alignment horizontal="center" vertical="center" wrapText="1" shrinkToFit="1"/>
    </xf>
    <xf numFmtId="0" fontId="49" fillId="7" borderId="2" xfId="0" quotePrefix="1" applyFont="1" applyFill="1" applyBorder="1" applyAlignment="1">
      <alignment horizontal="center" vertical="center" wrapText="1" shrinkToFit="1"/>
    </xf>
    <xf numFmtId="0" fontId="47" fillId="7" borderId="2" xfId="0" applyFont="1" applyFill="1" applyBorder="1" applyAlignment="1">
      <alignment horizontal="center" vertical="center" wrapText="1" shrinkToFit="1"/>
    </xf>
    <xf numFmtId="0" fontId="39" fillId="4" borderId="2" xfId="0" applyFont="1" applyFill="1" applyBorder="1" applyAlignment="1">
      <alignment horizontal="center" vertical="center" wrapText="1" shrinkToFit="1"/>
    </xf>
    <xf numFmtId="3" fontId="52" fillId="7" borderId="2" xfId="0" applyNumberFormat="1" applyFont="1" applyFill="1" applyBorder="1" applyAlignment="1">
      <alignment horizontal="center" vertical="center" wrapText="1" shrinkToFit="1"/>
    </xf>
    <xf numFmtId="0" fontId="47" fillId="7" borderId="2" xfId="0" applyFont="1" applyFill="1" applyBorder="1" applyAlignment="1">
      <alignment horizontal="center" vertical="center" wrapText="1"/>
    </xf>
    <xf numFmtId="17" fontId="40" fillId="7" borderId="2" xfId="0" quotePrefix="1" applyNumberFormat="1" applyFont="1" applyFill="1" applyBorder="1" applyAlignment="1">
      <alignment horizontal="center" vertical="center" wrapText="1" shrinkToFit="1"/>
    </xf>
    <xf numFmtId="0" fontId="40" fillId="7" borderId="2" xfId="0" applyFont="1" applyFill="1" applyBorder="1" applyAlignment="1">
      <alignment horizontal="center" vertical="center" wrapText="1" shrinkToFit="1"/>
    </xf>
    <xf numFmtId="0" fontId="40" fillId="7" borderId="2" xfId="0" applyFont="1" applyFill="1" applyBorder="1" applyAlignment="1">
      <alignment horizontal="center" vertical="center" wrapText="1"/>
    </xf>
    <xf numFmtId="0" fontId="40" fillId="7" borderId="2" xfId="0" applyFont="1" applyFill="1" applyBorder="1" applyAlignment="1">
      <alignment horizontal="center" vertical="center" shrinkToFit="1"/>
    </xf>
    <xf numFmtId="0" fontId="39" fillId="7" borderId="2" xfId="0" applyFont="1" applyFill="1" applyBorder="1" applyAlignment="1">
      <alignment horizontal="center" vertical="center" wrapText="1"/>
    </xf>
    <xf numFmtId="17" fontId="40" fillId="7" borderId="2" xfId="0" applyNumberFormat="1" applyFont="1" applyFill="1" applyBorder="1" applyAlignment="1">
      <alignment horizontal="center" vertical="center" wrapText="1" shrinkToFit="1"/>
    </xf>
    <xf numFmtId="17" fontId="40" fillId="7" borderId="2" xfId="0" applyNumberFormat="1" applyFont="1" applyFill="1" applyBorder="1" applyAlignment="1">
      <alignment horizontal="center" vertical="center" wrapText="1"/>
    </xf>
    <xf numFmtId="0" fontId="37" fillId="7" borderId="2" xfId="0" applyFont="1" applyFill="1" applyBorder="1" applyAlignment="1">
      <alignment horizontal="center" vertical="center" wrapText="1" shrinkToFit="1"/>
    </xf>
    <xf numFmtId="17" fontId="39" fillId="7" borderId="2" xfId="0" quotePrefix="1" applyNumberFormat="1" applyFont="1" applyFill="1" applyBorder="1" applyAlignment="1">
      <alignment horizontal="center" vertical="center" wrapText="1"/>
    </xf>
    <xf numFmtId="0" fontId="39" fillId="7" borderId="2" xfId="0" quotePrefix="1" applyFont="1" applyFill="1" applyBorder="1" applyAlignment="1">
      <alignment horizontal="center" vertical="center" wrapText="1"/>
    </xf>
    <xf numFmtId="17" fontId="63" fillId="7" borderId="2" xfId="0" quotePrefix="1" applyNumberFormat="1" applyFont="1" applyFill="1" applyBorder="1" applyAlignment="1">
      <alignment horizontal="center" vertical="center" wrapText="1" shrinkToFit="1"/>
    </xf>
    <xf numFmtId="0" fontId="63" fillId="7" borderId="2" xfId="0" applyFont="1" applyFill="1" applyBorder="1" applyAlignment="1">
      <alignment horizontal="center" vertical="center" wrapText="1" shrinkToFit="1"/>
    </xf>
    <xf numFmtId="17" fontId="39" fillId="7" borderId="2" xfId="0" applyNumberFormat="1" applyFont="1" applyFill="1" applyBorder="1" applyAlignment="1">
      <alignment horizontal="center" vertical="center" wrapText="1"/>
    </xf>
    <xf numFmtId="0" fontId="39" fillId="8" borderId="2" xfId="0" applyFont="1" applyFill="1" applyBorder="1" applyAlignment="1">
      <alignment horizontal="center" vertical="center" wrapText="1"/>
    </xf>
    <xf numFmtId="17" fontId="39" fillId="7" borderId="2" xfId="0" quotePrefix="1" applyNumberFormat="1" applyFont="1" applyFill="1" applyBorder="1" applyAlignment="1">
      <alignment horizontal="center" vertical="center"/>
    </xf>
    <xf numFmtId="0" fontId="39" fillId="7" borderId="2" xfId="0" quotePrefix="1" applyFont="1" applyFill="1" applyBorder="1" applyAlignment="1">
      <alignment horizontal="center" vertical="center" wrapText="1" shrinkToFit="1"/>
    </xf>
    <xf numFmtId="17" fontId="39" fillId="7" borderId="2" xfId="0" quotePrefix="1" applyNumberFormat="1" applyFont="1" applyFill="1" applyBorder="1" applyAlignment="1">
      <alignment horizontal="center" vertical="center" wrapText="1" shrinkToFit="1"/>
    </xf>
    <xf numFmtId="0" fontId="94" fillId="7" borderId="2" xfId="0" applyFont="1" applyFill="1" applyBorder="1" applyAlignment="1">
      <alignment horizontal="center" vertical="center" wrapText="1" shrinkToFit="1"/>
    </xf>
    <xf numFmtId="17" fontId="39" fillId="0" borderId="2" xfId="0" applyNumberFormat="1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 wrapText="1" shrinkToFit="1"/>
    </xf>
    <xf numFmtId="17" fontId="39" fillId="5" borderId="2" xfId="0" applyNumberFormat="1" applyFont="1" applyFill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39" fillId="9" borderId="2" xfId="0" applyFont="1" applyFill="1" applyBorder="1" applyAlignment="1">
      <alignment horizontal="center" vertical="center" wrapText="1"/>
    </xf>
    <xf numFmtId="0" fontId="39" fillId="5" borderId="2" xfId="0" applyFont="1" applyFill="1" applyBorder="1" applyAlignment="1">
      <alignment horizontal="center" vertical="center" wrapText="1" shrinkToFit="1"/>
    </xf>
    <xf numFmtId="17" fontId="39" fillId="5" borderId="2" xfId="0" quotePrefix="1" applyNumberFormat="1" applyFont="1" applyFill="1" applyBorder="1" applyAlignment="1">
      <alignment horizontal="center" vertical="center" wrapText="1"/>
    </xf>
    <xf numFmtId="0" fontId="39" fillId="0" borderId="2" xfId="0" quotePrefix="1" applyFont="1" applyBorder="1" applyAlignment="1">
      <alignment horizontal="center" vertical="center" wrapText="1" shrinkToFit="1"/>
    </xf>
    <xf numFmtId="0" fontId="40" fillId="0" borderId="2" xfId="0" quotePrefix="1" applyFont="1" applyBorder="1" applyAlignment="1">
      <alignment horizontal="center" vertical="center" wrapText="1" shrinkToFit="1"/>
    </xf>
    <xf numFmtId="0" fontId="39" fillId="5" borderId="2" xfId="0" quotePrefix="1" applyFont="1" applyFill="1" applyBorder="1" applyAlignment="1">
      <alignment horizontal="center" vertical="center" wrapText="1" shrinkToFit="1"/>
    </xf>
    <xf numFmtId="0" fontId="39" fillId="11" borderId="2" xfId="0" applyFont="1" applyFill="1" applyBorder="1" applyAlignment="1">
      <alignment horizontal="center" vertical="center" wrapText="1"/>
    </xf>
    <xf numFmtId="0" fontId="39" fillId="11" borderId="2" xfId="0" applyFont="1" applyFill="1" applyBorder="1" applyAlignment="1">
      <alignment horizontal="center" vertical="center" wrapText="1" shrinkToFit="1"/>
    </xf>
    <xf numFmtId="0" fontId="39" fillId="11" borderId="2" xfId="0" quotePrefix="1" applyFont="1" applyFill="1" applyBorder="1" applyAlignment="1">
      <alignment horizontal="center" vertical="center" wrapText="1" shrinkToFit="1"/>
    </xf>
    <xf numFmtId="0" fontId="37" fillId="7" borderId="2" xfId="0" applyFont="1" applyFill="1" applyBorder="1" applyAlignment="1">
      <alignment horizontal="center" vertical="center"/>
    </xf>
    <xf numFmtId="0" fontId="37" fillId="11" borderId="2" xfId="0" applyFont="1" applyFill="1" applyBorder="1" applyAlignment="1">
      <alignment horizontal="center" vertical="center" shrinkToFit="1"/>
    </xf>
    <xf numFmtId="0" fontId="38" fillId="0" borderId="2" xfId="0" applyFont="1" applyBorder="1" applyAlignment="1">
      <alignment horizontal="center" vertical="center" wrapText="1"/>
    </xf>
    <xf numFmtId="0" fontId="47" fillId="5" borderId="1" xfId="0" applyFont="1" applyFill="1" applyBorder="1">
      <alignment vertical="center"/>
    </xf>
    <xf numFmtId="0" fontId="50" fillId="7" borderId="1" xfId="0" applyFont="1" applyFill="1" applyBorder="1">
      <alignment vertical="center"/>
    </xf>
    <xf numFmtId="0" fontId="62" fillId="7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 wrapText="1"/>
    </xf>
    <xf numFmtId="0" fontId="87" fillId="5" borderId="1" xfId="0" applyFont="1" applyFill="1" applyBorder="1" applyAlignment="1">
      <alignment horizontal="center" vertical="center" shrinkToFit="1"/>
    </xf>
    <xf numFmtId="176" fontId="37" fillId="5" borderId="1" xfId="0" applyNumberFormat="1" applyFont="1" applyFill="1" applyBorder="1" applyAlignment="1">
      <alignment horizontal="right" vertical="center"/>
    </xf>
    <xf numFmtId="3" fontId="87" fillId="5" borderId="2" xfId="0" applyNumberFormat="1" applyFont="1" applyFill="1" applyBorder="1">
      <alignment vertical="center"/>
    </xf>
    <xf numFmtId="0" fontId="87" fillId="5" borderId="1" xfId="0" applyFont="1" applyFill="1" applyBorder="1" applyAlignment="1">
      <alignment horizontal="center" vertical="center" wrapText="1"/>
    </xf>
    <xf numFmtId="178" fontId="37" fillId="5" borderId="1" xfId="0" applyNumberFormat="1" applyFont="1" applyFill="1" applyBorder="1" applyAlignment="1">
      <alignment horizontal="center" vertical="center" wrapText="1"/>
    </xf>
    <xf numFmtId="3" fontId="37" fillId="5" borderId="1" xfId="0" applyNumberFormat="1" applyFont="1" applyFill="1" applyBorder="1" applyAlignment="1">
      <alignment horizontal="center" vertical="center" wrapText="1"/>
    </xf>
    <xf numFmtId="0" fontId="37" fillId="5" borderId="2" xfId="0" applyFont="1" applyFill="1" applyBorder="1" applyAlignment="1">
      <alignment horizontal="center" vertical="center" wrapText="1"/>
    </xf>
    <xf numFmtId="0" fontId="87" fillId="5" borderId="0" xfId="0" applyFont="1" applyFill="1">
      <alignment vertical="center"/>
    </xf>
    <xf numFmtId="0" fontId="39" fillId="5" borderId="1" xfId="0" quotePrefix="1" applyFont="1" applyFill="1" applyBorder="1" applyAlignment="1">
      <alignment horizontal="center" vertical="center" wrapText="1"/>
    </xf>
    <xf numFmtId="0" fontId="94" fillId="5" borderId="1" xfId="0" applyFont="1" applyFill="1" applyBorder="1" applyAlignment="1">
      <alignment horizontal="center" vertical="center" shrinkToFit="1"/>
    </xf>
    <xf numFmtId="176" fontId="56" fillId="5" borderId="1" xfId="0" applyNumberFormat="1" applyFont="1" applyFill="1" applyBorder="1" applyAlignment="1">
      <alignment horizontal="center" vertical="center" shrinkToFit="1"/>
    </xf>
    <xf numFmtId="0" fontId="47" fillId="9" borderId="0" xfId="0" applyFont="1" applyFill="1">
      <alignment vertical="center"/>
    </xf>
    <xf numFmtId="178" fontId="37" fillId="0" borderId="1" xfId="0" applyNumberFormat="1" applyFont="1" applyBorder="1" applyAlignment="1">
      <alignment horizontal="center" vertical="center" wrapText="1" shrinkToFit="1"/>
    </xf>
    <xf numFmtId="3" fontId="37" fillId="0" borderId="1" xfId="0" applyNumberFormat="1" applyFont="1" applyBorder="1" applyAlignment="1">
      <alignment horizontal="center" vertical="center" wrapText="1" shrinkToFit="1"/>
    </xf>
    <xf numFmtId="176" fontId="39" fillId="5" borderId="1" xfId="0" applyNumberFormat="1" applyFont="1" applyFill="1" applyBorder="1" applyAlignment="1">
      <alignment horizontal="center" vertical="center" shrinkToFit="1"/>
    </xf>
    <xf numFmtId="0" fontId="97" fillId="5" borderId="1" xfId="0" applyFont="1" applyFill="1" applyBorder="1" applyAlignment="1">
      <alignment horizontal="center" vertical="center"/>
    </xf>
    <xf numFmtId="0" fontId="97" fillId="5" borderId="1" xfId="0" applyFont="1" applyFill="1" applyBorder="1" applyAlignment="1">
      <alignment horizontal="center" vertical="center" wrapText="1"/>
    </xf>
    <xf numFmtId="0" fontId="97" fillId="5" borderId="1" xfId="0" applyFont="1" applyFill="1" applyBorder="1" applyAlignment="1">
      <alignment horizontal="center" vertical="center" shrinkToFit="1"/>
    </xf>
    <xf numFmtId="0" fontId="97" fillId="5" borderId="1" xfId="0" applyFont="1" applyFill="1" applyBorder="1" applyAlignment="1">
      <alignment horizontal="left" vertical="center" shrinkToFit="1"/>
    </xf>
    <xf numFmtId="177" fontId="97" fillId="5" borderId="1" xfId="0" applyNumberFormat="1" applyFont="1" applyFill="1" applyBorder="1" applyAlignment="1">
      <alignment horizontal="center" vertical="center"/>
    </xf>
    <xf numFmtId="176" fontId="97" fillId="5" borderId="1" xfId="0" applyNumberFormat="1" applyFont="1" applyFill="1" applyBorder="1" applyAlignment="1">
      <alignment horizontal="right" vertical="center"/>
    </xf>
    <xf numFmtId="178" fontId="97" fillId="5" borderId="1" xfId="0" applyNumberFormat="1" applyFont="1" applyFill="1" applyBorder="1" applyAlignment="1">
      <alignment horizontal="center" vertical="center" wrapText="1"/>
    </xf>
    <xf numFmtId="3" fontId="97" fillId="5" borderId="1" xfId="0" applyNumberFormat="1" applyFont="1" applyFill="1" applyBorder="1" applyAlignment="1">
      <alignment horizontal="center" vertical="center" wrapText="1"/>
    </xf>
    <xf numFmtId="0" fontId="97" fillId="5" borderId="1" xfId="0" applyFont="1" applyFill="1" applyBorder="1">
      <alignment vertical="center"/>
    </xf>
    <xf numFmtId="0" fontId="97" fillId="5" borderId="0" xfId="0" applyFont="1" applyFill="1">
      <alignment vertical="center"/>
    </xf>
    <xf numFmtId="176" fontId="97" fillId="5" borderId="0" xfId="0" applyNumberFormat="1" applyFont="1" applyFill="1" applyAlignment="1">
      <alignment horizontal="right" vertical="center"/>
    </xf>
    <xf numFmtId="176" fontId="94" fillId="5" borderId="1" xfId="0" applyNumberFormat="1" applyFont="1" applyFill="1" applyBorder="1" applyAlignment="1">
      <alignment horizontal="center" vertical="center" shrinkToFit="1"/>
    </xf>
    <xf numFmtId="38" fontId="37" fillId="5" borderId="2" xfId="0" applyNumberFormat="1" applyFont="1" applyFill="1" applyBorder="1" applyAlignment="1">
      <alignment horizontal="center" vertical="center" shrinkToFit="1"/>
    </xf>
    <xf numFmtId="38" fontId="97" fillId="5" borderId="2" xfId="0" applyNumberFormat="1" applyFont="1" applyFill="1" applyBorder="1" applyAlignment="1">
      <alignment horizontal="center" vertical="center" shrinkToFit="1"/>
    </xf>
    <xf numFmtId="38" fontId="97" fillId="0" borderId="2" xfId="0" applyNumberFormat="1" applyFont="1" applyBorder="1" applyAlignment="1">
      <alignment horizontal="left" vertical="center" shrinkToFit="1"/>
    </xf>
    <xf numFmtId="38" fontId="97" fillId="5" borderId="3" xfId="0" applyNumberFormat="1" applyFont="1" applyFill="1" applyBorder="1" applyAlignment="1">
      <alignment horizontal="center" vertical="center" shrinkToFit="1"/>
    </xf>
    <xf numFmtId="178" fontId="97" fillId="5" borderId="2" xfId="0" applyNumberFormat="1" applyFont="1" applyFill="1" applyBorder="1" applyAlignment="1">
      <alignment horizontal="center" vertical="center" shrinkToFit="1"/>
    </xf>
    <xf numFmtId="3" fontId="97" fillId="5" borderId="1" xfId="0" applyNumberFormat="1" applyFont="1" applyFill="1" applyBorder="1" applyAlignment="1">
      <alignment horizontal="center" vertical="center" wrapText="1" shrinkToFit="1"/>
    </xf>
    <xf numFmtId="176" fontId="93" fillId="5" borderId="1" xfId="0" applyNumberFormat="1" applyFont="1" applyFill="1" applyBorder="1" applyAlignment="1">
      <alignment horizontal="center" vertical="center" shrinkToFit="1"/>
    </xf>
    <xf numFmtId="38" fontId="97" fillId="5" borderId="2" xfId="0" applyNumberFormat="1" applyFont="1" applyFill="1" applyBorder="1" applyAlignment="1">
      <alignment horizontal="left" vertical="center" shrinkToFit="1"/>
    </xf>
    <xf numFmtId="38" fontId="97" fillId="5" borderId="1" xfId="0" applyNumberFormat="1" applyFont="1" applyFill="1" applyBorder="1" applyAlignment="1">
      <alignment horizontal="center" vertical="center" shrinkToFit="1"/>
    </xf>
    <xf numFmtId="0" fontId="97" fillId="5" borderId="1" xfId="0" applyFont="1" applyFill="1" applyBorder="1" applyAlignment="1">
      <alignment horizontal="center" vertical="center" wrapText="1" shrinkToFit="1"/>
    </xf>
    <xf numFmtId="0" fontId="97" fillId="5" borderId="2" xfId="0" applyFont="1" applyFill="1" applyBorder="1" applyAlignment="1">
      <alignment horizontal="center" vertical="center"/>
    </xf>
    <xf numFmtId="0" fontId="94" fillId="9" borderId="1" xfId="0" applyFont="1" applyFill="1" applyBorder="1" applyAlignment="1">
      <alignment horizontal="center" vertical="center" shrinkToFit="1"/>
    </xf>
    <xf numFmtId="176" fontId="56" fillId="9" borderId="1" xfId="0" applyNumberFormat="1" applyFont="1" applyFill="1" applyBorder="1" applyAlignment="1">
      <alignment horizontal="center" vertical="center" shrinkToFit="1"/>
    </xf>
    <xf numFmtId="176" fontId="39" fillId="9" borderId="0" xfId="0" applyNumberFormat="1" applyFont="1" applyFill="1" applyAlignment="1">
      <alignment horizontal="right" vertical="center"/>
    </xf>
    <xf numFmtId="3" fontId="48" fillId="9" borderId="2" xfId="0" applyNumberFormat="1" applyFont="1" applyFill="1" applyBorder="1">
      <alignment vertical="center"/>
    </xf>
    <xf numFmtId="3" fontId="47" fillId="5" borderId="2" xfId="0" applyNumberFormat="1" applyFont="1" applyFill="1" applyBorder="1">
      <alignment vertical="center"/>
    </xf>
    <xf numFmtId="2" fontId="39" fillId="0" borderId="1" xfId="0" applyNumberFormat="1" applyFont="1" applyBorder="1" applyAlignment="1">
      <alignment horizontal="center" vertical="center" wrapText="1"/>
    </xf>
    <xf numFmtId="0" fontId="97" fillId="0" borderId="1" xfId="0" applyFont="1" applyBorder="1" applyAlignment="1">
      <alignment horizontal="center" vertical="center"/>
    </xf>
    <xf numFmtId="0" fontId="97" fillId="0" borderId="1" xfId="0" applyFont="1" applyBorder="1" applyAlignment="1">
      <alignment horizontal="left" vertical="center" shrinkToFit="1"/>
    </xf>
    <xf numFmtId="177" fontId="97" fillId="0" borderId="1" xfId="0" applyNumberFormat="1" applyFont="1" applyBorder="1" applyAlignment="1">
      <alignment horizontal="center" vertical="center"/>
    </xf>
    <xf numFmtId="0" fontId="97" fillId="0" borderId="1" xfId="0" applyFont="1" applyBorder="1" applyAlignment="1">
      <alignment horizontal="center" vertical="center" shrinkToFit="1"/>
    </xf>
    <xf numFmtId="176" fontId="93" fillId="0" borderId="1" xfId="0" applyNumberFormat="1" applyFont="1" applyBorder="1" applyAlignment="1">
      <alignment horizontal="center" vertical="center" shrinkToFit="1"/>
    </xf>
    <xf numFmtId="178" fontId="97" fillId="0" borderId="1" xfId="0" applyNumberFormat="1" applyFont="1" applyBorder="1" applyAlignment="1">
      <alignment horizontal="center" vertical="center" wrapText="1"/>
    </xf>
    <xf numFmtId="3" fontId="97" fillId="0" borderId="1" xfId="0" applyNumberFormat="1" applyFont="1" applyBorder="1" applyAlignment="1">
      <alignment horizontal="center" vertical="center" wrapText="1"/>
    </xf>
    <xf numFmtId="0" fontId="97" fillId="0" borderId="1" xfId="0" applyFont="1" applyBorder="1" applyAlignment="1">
      <alignment horizontal="center" vertical="center" wrapText="1"/>
    </xf>
    <xf numFmtId="0" fontId="97" fillId="0" borderId="1" xfId="0" applyFont="1" applyBorder="1">
      <alignment vertical="center"/>
    </xf>
    <xf numFmtId="0" fontId="97" fillId="0" borderId="0" xfId="0" applyFont="1">
      <alignment vertical="center"/>
    </xf>
    <xf numFmtId="176" fontId="97" fillId="0" borderId="0" xfId="0" applyNumberFormat="1" applyFont="1" applyAlignment="1">
      <alignment horizontal="right" vertical="center"/>
    </xf>
    <xf numFmtId="38" fontId="37" fillId="5" borderId="1" xfId="0" applyNumberFormat="1" applyFont="1" applyFill="1" applyBorder="1" applyAlignment="1">
      <alignment horizontal="center" vertical="center" shrinkToFit="1"/>
    </xf>
    <xf numFmtId="38" fontId="37" fillId="5" borderId="3" xfId="0" applyNumberFormat="1" applyFont="1" applyFill="1" applyBorder="1" applyAlignment="1">
      <alignment horizontal="center" vertical="center" shrinkToFit="1"/>
    </xf>
    <xf numFmtId="178" fontId="37" fillId="5" borderId="1" xfId="0" applyNumberFormat="1" applyFont="1" applyFill="1" applyBorder="1" applyAlignment="1">
      <alignment horizontal="center" vertical="center" wrapText="1" shrinkToFit="1"/>
    </xf>
    <xf numFmtId="3" fontId="37" fillId="5" borderId="1" xfId="0" applyNumberFormat="1" applyFont="1" applyFill="1" applyBorder="1" applyAlignment="1">
      <alignment horizontal="center" vertical="center" wrapText="1" shrinkToFit="1"/>
    </xf>
    <xf numFmtId="0" fontId="37" fillId="5" borderId="1" xfId="0" applyFont="1" applyFill="1" applyBorder="1" applyAlignment="1">
      <alignment horizontal="center" vertical="center" wrapText="1" shrinkToFit="1"/>
    </xf>
    <xf numFmtId="0" fontId="39" fillId="12" borderId="1" xfId="0" applyFont="1" applyFill="1" applyBorder="1" applyAlignment="1">
      <alignment horizontal="center" vertical="center"/>
    </xf>
    <xf numFmtId="0" fontId="39" fillId="12" borderId="1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shrinkToFit="1"/>
    </xf>
    <xf numFmtId="0" fontId="39" fillId="12" borderId="1" xfId="0" applyFont="1" applyFill="1" applyBorder="1" applyAlignment="1">
      <alignment horizontal="left" vertical="center" shrinkToFit="1"/>
    </xf>
    <xf numFmtId="177" fontId="39" fillId="12" borderId="1" xfId="0" applyNumberFormat="1" applyFont="1" applyFill="1" applyBorder="1" applyAlignment="1">
      <alignment horizontal="center" vertical="center"/>
    </xf>
    <xf numFmtId="176" fontId="39" fillId="12" borderId="1" xfId="0" applyNumberFormat="1" applyFont="1" applyFill="1" applyBorder="1" applyAlignment="1">
      <alignment horizontal="right" vertical="center"/>
    </xf>
    <xf numFmtId="178" fontId="39" fillId="12" borderId="1" xfId="0" applyNumberFormat="1" applyFont="1" applyFill="1" applyBorder="1" applyAlignment="1">
      <alignment horizontal="center" vertical="center" wrapText="1"/>
    </xf>
    <xf numFmtId="3" fontId="39" fillId="12" borderId="1" xfId="0" applyNumberFormat="1" applyFont="1" applyFill="1" applyBorder="1" applyAlignment="1">
      <alignment horizontal="center" vertical="center" wrapText="1"/>
    </xf>
    <xf numFmtId="0" fontId="39" fillId="0" borderId="2" xfId="0" applyFont="1" applyBorder="1" applyAlignment="1">
      <alignment horizontal="left" vertical="center" shrinkToFit="1"/>
    </xf>
    <xf numFmtId="177" fontId="39" fillId="0" borderId="2" xfId="0" applyNumberFormat="1" applyFont="1" applyBorder="1" applyAlignment="1">
      <alignment horizontal="center" vertical="center"/>
    </xf>
    <xf numFmtId="178" fontId="39" fillId="0" borderId="2" xfId="0" applyNumberFormat="1" applyFont="1" applyBorder="1" applyAlignment="1">
      <alignment horizontal="center" vertical="center" wrapText="1"/>
    </xf>
    <xf numFmtId="0" fontId="48" fillId="12" borderId="1" xfId="0" applyFont="1" applyFill="1" applyBorder="1" applyAlignment="1">
      <alignment horizontal="center" vertical="center" shrinkToFit="1"/>
    </xf>
    <xf numFmtId="3" fontId="48" fillId="12" borderId="2" xfId="0" applyNumberFormat="1" applyFont="1" applyFill="1" applyBorder="1">
      <alignment vertical="center"/>
    </xf>
    <xf numFmtId="0" fontId="48" fillId="12" borderId="1" xfId="0" applyFont="1" applyFill="1" applyBorder="1" applyAlignment="1">
      <alignment horizontal="center" vertical="center" wrapText="1"/>
    </xf>
    <xf numFmtId="0" fontId="39" fillId="12" borderId="2" xfId="0" applyFont="1" applyFill="1" applyBorder="1" applyAlignment="1">
      <alignment horizontal="center" vertical="center" wrapText="1"/>
    </xf>
    <xf numFmtId="0" fontId="39" fillId="5" borderId="4" xfId="0" applyFont="1" applyFill="1" applyBorder="1" applyAlignment="1">
      <alignment horizontal="center" vertical="center" wrapText="1"/>
    </xf>
    <xf numFmtId="0" fontId="94" fillId="0" borderId="2" xfId="0" applyFont="1" applyBorder="1" applyAlignment="1">
      <alignment horizontal="center" vertical="center" wrapText="1"/>
    </xf>
    <xf numFmtId="0" fontId="37" fillId="5" borderId="2" xfId="0" applyFont="1" applyFill="1" applyBorder="1" applyAlignment="1">
      <alignment horizontal="center" vertical="center" shrinkToFit="1"/>
    </xf>
    <xf numFmtId="0" fontId="37" fillId="0" borderId="2" xfId="0" applyFont="1" applyBorder="1" applyAlignment="1">
      <alignment horizontal="center" vertical="center" shrinkToFit="1"/>
    </xf>
    <xf numFmtId="0" fontId="37" fillId="0" borderId="2" xfId="0" applyFont="1" applyBorder="1" applyAlignment="1">
      <alignment horizontal="left" vertical="center" shrinkToFit="1"/>
    </xf>
    <xf numFmtId="177" fontId="37" fillId="0" borderId="2" xfId="0" applyNumberFormat="1" applyFont="1" applyBorder="1" applyAlignment="1">
      <alignment horizontal="center" vertical="center" shrinkToFit="1"/>
    </xf>
    <xf numFmtId="176" fontId="37" fillId="0" borderId="2" xfId="0" applyNumberFormat="1" applyFont="1" applyBorder="1" applyAlignment="1">
      <alignment horizontal="right" vertical="center" shrinkToFit="1"/>
    </xf>
    <xf numFmtId="3" fontId="37" fillId="0" borderId="2" xfId="0" applyNumberFormat="1" applyFont="1" applyBorder="1" applyAlignment="1">
      <alignment horizontal="center" vertical="center" shrinkToFit="1"/>
    </xf>
    <xf numFmtId="0" fontId="37" fillId="0" borderId="2" xfId="0" applyFont="1" applyBorder="1" applyAlignment="1">
      <alignment horizontal="center" vertical="center" wrapText="1" shrinkToFit="1"/>
    </xf>
    <xf numFmtId="0" fontId="102" fillId="0" borderId="1" xfId="0" applyFont="1" applyBorder="1" applyAlignment="1">
      <alignment horizontal="center" vertical="center"/>
    </xf>
    <xf numFmtId="0" fontId="102" fillId="5" borderId="1" xfId="0" applyFont="1" applyFill="1" applyBorder="1" applyAlignment="1">
      <alignment horizontal="center" vertical="center" wrapText="1"/>
    </xf>
    <xf numFmtId="0" fontId="102" fillId="5" borderId="1" xfId="0" applyFont="1" applyFill="1" applyBorder="1" applyAlignment="1">
      <alignment horizontal="center" vertical="center" shrinkToFit="1"/>
    </xf>
    <xf numFmtId="0" fontId="102" fillId="5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left" vertical="center" shrinkToFit="1"/>
    </xf>
    <xf numFmtId="177" fontId="102" fillId="0" borderId="1" xfId="0" applyNumberFormat="1" applyFont="1" applyBorder="1" applyAlignment="1">
      <alignment horizontal="center" vertical="center"/>
    </xf>
    <xf numFmtId="176" fontId="102" fillId="5" borderId="1" xfId="0" applyNumberFormat="1" applyFont="1" applyFill="1" applyBorder="1" applyAlignment="1">
      <alignment horizontal="right" vertical="center"/>
    </xf>
    <xf numFmtId="0" fontId="102" fillId="0" borderId="1" xfId="0" applyFont="1" applyBorder="1" applyAlignment="1">
      <alignment horizontal="center" vertical="center" shrinkToFit="1"/>
    </xf>
    <xf numFmtId="176" fontId="103" fillId="0" borderId="1" xfId="0" applyNumberFormat="1" applyFont="1" applyBorder="1" applyAlignment="1">
      <alignment horizontal="center" vertical="center" shrinkToFit="1"/>
    </xf>
    <xf numFmtId="178" fontId="102" fillId="0" borderId="1" xfId="0" applyNumberFormat="1" applyFont="1" applyBorder="1" applyAlignment="1">
      <alignment horizontal="center" vertical="center" wrapText="1"/>
    </xf>
    <xf numFmtId="3" fontId="102" fillId="0" borderId="1" xfId="0" applyNumberFormat="1" applyFont="1" applyBorder="1" applyAlignment="1">
      <alignment horizontal="center" vertical="center" wrapText="1"/>
    </xf>
    <xf numFmtId="0" fontId="102" fillId="0" borderId="1" xfId="0" applyFont="1" applyBorder="1" applyAlignment="1">
      <alignment horizontal="center" vertical="center" wrapText="1"/>
    </xf>
    <xf numFmtId="0" fontId="102" fillId="0" borderId="1" xfId="0" applyFont="1" applyBorder="1">
      <alignment vertical="center"/>
    </xf>
    <xf numFmtId="0" fontId="102" fillId="0" borderId="0" xfId="0" applyFont="1">
      <alignment vertical="center"/>
    </xf>
    <xf numFmtId="176" fontId="102" fillId="0" borderId="0" xfId="0" applyNumberFormat="1" applyFont="1" applyAlignment="1">
      <alignment horizontal="right" vertical="center"/>
    </xf>
    <xf numFmtId="176" fontId="94" fillId="0" borderId="1" xfId="0" applyNumberFormat="1" applyFont="1" applyBorder="1" applyAlignment="1">
      <alignment horizontal="center" vertical="center" shrinkToFit="1"/>
    </xf>
    <xf numFmtId="0" fontId="104" fillId="0" borderId="1" xfId="0" applyFont="1" applyBorder="1" applyAlignment="1">
      <alignment horizontal="center" vertical="center"/>
    </xf>
    <xf numFmtId="0" fontId="104" fillId="5" borderId="1" xfId="0" applyFont="1" applyFill="1" applyBorder="1" applyAlignment="1">
      <alignment horizontal="center" vertical="center" wrapText="1"/>
    </xf>
    <xf numFmtId="0" fontId="104" fillId="5" borderId="1" xfId="0" applyFont="1" applyFill="1" applyBorder="1" applyAlignment="1">
      <alignment horizontal="center" vertical="center" shrinkToFit="1"/>
    </xf>
    <xf numFmtId="0" fontId="104" fillId="5" borderId="1" xfId="0" applyFont="1" applyFill="1" applyBorder="1" applyAlignment="1">
      <alignment horizontal="center" vertical="center"/>
    </xf>
    <xf numFmtId="0" fontId="104" fillId="0" borderId="1" xfId="0" applyFont="1" applyBorder="1" applyAlignment="1">
      <alignment horizontal="left" vertical="center" shrinkToFit="1"/>
    </xf>
    <xf numFmtId="177" fontId="104" fillId="0" borderId="1" xfId="0" applyNumberFormat="1" applyFont="1" applyBorder="1" applyAlignment="1">
      <alignment horizontal="center" vertical="center"/>
    </xf>
    <xf numFmtId="176" fontId="104" fillId="5" borderId="1" xfId="0" applyNumberFormat="1" applyFont="1" applyFill="1" applyBorder="1" applyAlignment="1">
      <alignment horizontal="right" vertical="center"/>
    </xf>
    <xf numFmtId="0" fontId="104" fillId="0" borderId="1" xfId="0" applyFont="1" applyBorder="1" applyAlignment="1">
      <alignment horizontal="center" vertical="center" shrinkToFit="1"/>
    </xf>
    <xf numFmtId="176" fontId="105" fillId="0" borderId="1" xfId="0" applyNumberFormat="1" applyFont="1" applyBorder="1" applyAlignment="1">
      <alignment horizontal="center" vertical="center" shrinkToFit="1"/>
    </xf>
    <xf numFmtId="178" fontId="104" fillId="0" borderId="1" xfId="0" applyNumberFormat="1" applyFont="1" applyBorder="1" applyAlignment="1">
      <alignment horizontal="center" vertical="center" wrapText="1"/>
    </xf>
    <xf numFmtId="3" fontId="104" fillId="0" borderId="1" xfId="0" applyNumberFormat="1" applyFont="1" applyBorder="1" applyAlignment="1">
      <alignment horizontal="center" vertical="center" wrapText="1"/>
    </xf>
    <xf numFmtId="0" fontId="104" fillId="0" borderId="1" xfId="0" applyFont="1" applyBorder="1" applyAlignment="1">
      <alignment horizontal="center" vertical="center" wrapText="1"/>
    </xf>
    <xf numFmtId="0" fontId="104" fillId="0" borderId="1" xfId="0" applyFont="1" applyBorder="1">
      <alignment vertical="center"/>
    </xf>
    <xf numFmtId="0" fontId="104" fillId="0" borderId="0" xfId="0" applyFont="1">
      <alignment vertical="center"/>
    </xf>
    <xf numFmtId="176" fontId="104" fillId="0" borderId="0" xfId="0" applyNumberFormat="1" applyFont="1" applyAlignment="1">
      <alignment horizontal="right" vertical="center"/>
    </xf>
    <xf numFmtId="17" fontId="39" fillId="9" borderId="2" xfId="0" applyNumberFormat="1" applyFont="1" applyFill="1" applyBorder="1" applyAlignment="1">
      <alignment horizontal="center" vertical="center" wrapText="1"/>
    </xf>
    <xf numFmtId="176" fontId="45" fillId="0" borderId="1" xfId="0" applyNumberFormat="1" applyFont="1" applyBorder="1" applyAlignment="1">
      <alignment horizontal="center" vertical="center" shrinkToFit="1"/>
    </xf>
    <xf numFmtId="0" fontId="106" fillId="5" borderId="1" xfId="0" applyFont="1" applyFill="1" applyBorder="1" applyAlignment="1">
      <alignment horizontal="center" vertical="center"/>
    </xf>
    <xf numFmtId="0" fontId="106" fillId="5" borderId="1" xfId="0" applyFont="1" applyFill="1" applyBorder="1" applyAlignment="1">
      <alignment horizontal="center" vertical="center" wrapText="1"/>
    </xf>
    <xf numFmtId="0" fontId="106" fillId="5" borderId="1" xfId="0" applyFont="1" applyFill="1" applyBorder="1" applyAlignment="1">
      <alignment horizontal="center" vertical="center" shrinkToFit="1"/>
    </xf>
    <xf numFmtId="0" fontId="106" fillId="5" borderId="1" xfId="0" applyFont="1" applyFill="1" applyBorder="1" applyAlignment="1">
      <alignment horizontal="left" vertical="center" shrinkToFit="1"/>
    </xf>
    <xf numFmtId="177" fontId="106" fillId="5" borderId="1" xfId="0" applyNumberFormat="1" applyFont="1" applyFill="1" applyBorder="1" applyAlignment="1">
      <alignment horizontal="center" vertical="center"/>
    </xf>
    <xf numFmtId="176" fontId="106" fillId="5" borderId="1" xfId="0" applyNumberFormat="1" applyFont="1" applyFill="1" applyBorder="1" applyAlignment="1">
      <alignment horizontal="right" vertical="center"/>
    </xf>
    <xf numFmtId="176" fontId="107" fillId="5" borderId="1" xfId="0" applyNumberFormat="1" applyFont="1" applyFill="1" applyBorder="1" applyAlignment="1">
      <alignment horizontal="center" vertical="center" shrinkToFit="1"/>
    </xf>
    <xf numFmtId="178" fontId="106" fillId="5" borderId="1" xfId="0" applyNumberFormat="1" applyFont="1" applyFill="1" applyBorder="1" applyAlignment="1">
      <alignment horizontal="center" vertical="center" wrapText="1"/>
    </xf>
    <xf numFmtId="3" fontId="106" fillId="5" borderId="1" xfId="0" applyNumberFormat="1" applyFont="1" applyFill="1" applyBorder="1" applyAlignment="1">
      <alignment horizontal="center" vertical="center" wrapText="1"/>
    </xf>
    <xf numFmtId="0" fontId="106" fillId="5" borderId="1" xfId="0" applyFont="1" applyFill="1" applyBorder="1">
      <alignment vertical="center"/>
    </xf>
    <xf numFmtId="0" fontId="106" fillId="5" borderId="0" xfId="0" applyFont="1" applyFill="1">
      <alignment vertical="center"/>
    </xf>
    <xf numFmtId="176" fontId="106" fillId="5" borderId="0" xfId="0" applyNumberFormat="1" applyFont="1" applyFill="1" applyAlignment="1">
      <alignment horizontal="right" vertical="center"/>
    </xf>
    <xf numFmtId="0" fontId="66" fillId="0" borderId="6" xfId="0" applyFont="1" applyBorder="1" applyAlignment="1">
      <alignment horizontal="center" vertical="center"/>
    </xf>
    <xf numFmtId="178" fontId="66" fillId="0" borderId="6" xfId="0" applyNumberFormat="1" applyFont="1" applyBorder="1" applyAlignment="1">
      <alignment horizontal="center" vertical="center"/>
    </xf>
    <xf numFmtId="0" fontId="65" fillId="0" borderId="6" xfId="0" applyFont="1" applyBorder="1" applyAlignment="1">
      <alignment horizontal="center" vertical="center"/>
    </xf>
    <xf numFmtId="0" fontId="67" fillId="3" borderId="6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38" fontId="47" fillId="3" borderId="7" xfId="0" applyNumberFormat="1" applyFont="1" applyFill="1" applyBorder="1" applyAlignment="1">
      <alignment horizontal="center" vertical="center" wrapText="1" shrinkToFit="1"/>
    </xf>
    <xf numFmtId="38" fontId="47" fillId="3" borderId="5" xfId="0" applyNumberFormat="1" applyFont="1" applyFill="1" applyBorder="1" applyAlignment="1">
      <alignment horizontal="center" vertical="center" wrapText="1" shrinkToFit="1"/>
    </xf>
    <xf numFmtId="0" fontId="40" fillId="0" borderId="7" xfId="0" applyFont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68" fillId="5" borderId="0" xfId="0" applyFont="1" applyFill="1" applyAlignment="1">
      <alignment horizontal="center" vertical="center" shrinkToFit="1"/>
    </xf>
    <xf numFmtId="0" fontId="48" fillId="3" borderId="7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52" fillId="0" borderId="7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9" fillId="0" borderId="7" xfId="0" applyFont="1" applyBorder="1" applyAlignment="1">
      <alignment horizontal="center" vertical="center"/>
    </xf>
    <xf numFmtId="3" fontId="52" fillId="0" borderId="7" xfId="0" applyNumberFormat="1" applyFont="1" applyBorder="1" applyAlignment="1">
      <alignment horizontal="center" vertical="center" wrapText="1" shrinkToFit="1"/>
    </xf>
    <xf numFmtId="0" fontId="0" fillId="0" borderId="5" xfId="0" applyBorder="1" applyAlignment="1">
      <alignment horizontal="center" vertical="center" wrapText="1" shrinkToFit="1"/>
    </xf>
    <xf numFmtId="0" fontId="51" fillId="3" borderId="7" xfId="0" applyFont="1" applyFill="1" applyBorder="1" applyAlignment="1">
      <alignment horizontal="center" vertical="center" shrinkToFit="1"/>
    </xf>
    <xf numFmtId="0" fontId="50" fillId="0" borderId="7" xfId="0" applyFont="1" applyBorder="1" applyAlignment="1">
      <alignment horizontal="center" vertical="center" wrapText="1"/>
    </xf>
    <xf numFmtId="0" fontId="49" fillId="3" borderId="7" xfId="0" quotePrefix="1" applyFont="1" applyFill="1" applyBorder="1" applyAlignment="1">
      <alignment horizontal="center" vertical="center" wrapText="1" shrinkToFit="1"/>
    </xf>
  </cellXfs>
  <cellStyles count="3">
    <cellStyle name="一般" xfId="0" builtinId="0"/>
    <cellStyle name="千分位" xfId="1" builtinId="3"/>
    <cellStyle name="貨幣" xfId="2" builtinId="4"/>
  </cellStyles>
  <dxfs count="0"/>
  <tableStyles count="0" defaultTableStyle="TableStyleMedium9" defaultPivotStyle="PivotStyleLight16"/>
  <colors>
    <mruColors>
      <color rgb="FFFF99FF"/>
      <color rgb="FFFFCCFF"/>
      <color rgb="FFFF99CC"/>
      <color rgb="FFFF7C80"/>
      <color rgb="FFFF5050"/>
      <color rgb="FFC0C0C0"/>
      <color rgb="FF00CCFF"/>
      <color rgb="FFFFCC99"/>
      <color rgb="FFFFFF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400050</xdr:rowOff>
    </xdr:from>
    <xdr:to>
      <xdr:col>6</xdr:col>
      <xdr:colOff>38100</xdr:colOff>
      <xdr:row>11</xdr:row>
      <xdr:rowOff>47625</xdr:rowOff>
    </xdr:to>
    <xdr:pic>
      <xdr:nvPicPr>
        <xdr:cNvPr id="20652" name="Picture 4" descr="1">
          <a:extLst>
            <a:ext uri="{FF2B5EF4-FFF2-40B4-BE49-F238E27FC236}">
              <a16:creationId xmlns:a16="http://schemas.microsoft.com/office/drawing/2014/main" id="{00000000-0008-0000-0600-0000AC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76225"/>
          <a:ext cx="4772025" cy="280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209550</xdr:colOff>
      <xdr:row>12</xdr:row>
      <xdr:rowOff>19050</xdr:rowOff>
    </xdr:from>
    <xdr:to>
      <xdr:col>7</xdr:col>
      <xdr:colOff>552450</xdr:colOff>
      <xdr:row>24</xdr:row>
      <xdr:rowOff>219075</xdr:rowOff>
    </xdr:to>
    <xdr:pic>
      <xdr:nvPicPr>
        <xdr:cNvPr id="20653" name="Picture 5" descr="1">
          <a:extLst>
            <a:ext uri="{FF2B5EF4-FFF2-40B4-BE49-F238E27FC236}">
              <a16:creationId xmlns:a16="http://schemas.microsoft.com/office/drawing/2014/main" id="{00000000-0008-0000-0600-0000AD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14700" y="3333750"/>
          <a:ext cx="2657475" cy="3514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26</xdr:row>
      <xdr:rowOff>9525</xdr:rowOff>
    </xdr:from>
    <xdr:to>
      <xdr:col>4</xdr:col>
      <xdr:colOff>228600</xdr:colOff>
      <xdr:row>42</xdr:row>
      <xdr:rowOff>123825</xdr:rowOff>
    </xdr:to>
    <xdr:pic>
      <xdr:nvPicPr>
        <xdr:cNvPr id="20654" name="Picture 6" descr="1">
          <a:extLst>
            <a:ext uri="{FF2B5EF4-FFF2-40B4-BE49-F238E27FC236}">
              <a16:creationId xmlns:a16="http://schemas.microsoft.com/office/drawing/2014/main" id="{00000000-0008-0000-0600-0000AE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191375"/>
          <a:ext cx="3333750" cy="453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</xdr:row>
      <xdr:rowOff>28575</xdr:rowOff>
    </xdr:from>
    <xdr:to>
      <xdr:col>3</xdr:col>
      <xdr:colOff>523875</xdr:colOff>
      <xdr:row>24</xdr:row>
      <xdr:rowOff>219075</xdr:rowOff>
    </xdr:to>
    <xdr:pic>
      <xdr:nvPicPr>
        <xdr:cNvPr id="20655" name="Picture 7" descr="73">
          <a:extLst>
            <a:ext uri="{FF2B5EF4-FFF2-40B4-BE49-F238E27FC236}">
              <a16:creationId xmlns:a16="http://schemas.microsoft.com/office/drawing/2014/main" id="{00000000-0008-0000-0600-0000AF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343275"/>
          <a:ext cx="2943225" cy="3505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7</xdr:col>
      <xdr:colOff>561975</xdr:colOff>
      <xdr:row>36</xdr:row>
      <xdr:rowOff>209550</xdr:rowOff>
    </xdr:to>
    <xdr:pic>
      <xdr:nvPicPr>
        <xdr:cNvPr id="20656" name="Picture 8" descr="85">
          <a:extLst>
            <a:ext uri="{FF2B5EF4-FFF2-40B4-BE49-F238E27FC236}">
              <a16:creationId xmlns:a16="http://schemas.microsoft.com/office/drawing/2014/main" id="{00000000-0008-0000-0600-0000B0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48125" y="7181850"/>
          <a:ext cx="1933575" cy="2971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3</xdr:col>
      <xdr:colOff>238125</xdr:colOff>
      <xdr:row>56</xdr:row>
      <xdr:rowOff>238125</xdr:rowOff>
    </xdr:to>
    <xdr:pic>
      <xdr:nvPicPr>
        <xdr:cNvPr id="20657" name="Picture 12" descr="1">
          <a:extLst>
            <a:ext uri="{FF2B5EF4-FFF2-40B4-BE49-F238E27FC236}">
              <a16:creationId xmlns:a16="http://schemas.microsoft.com/office/drawing/2014/main" id="{00000000-0008-0000-0600-0000B1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153900"/>
          <a:ext cx="2657475" cy="3552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657225</xdr:colOff>
      <xdr:row>44</xdr:row>
      <xdr:rowOff>0</xdr:rowOff>
    </xdr:from>
    <xdr:to>
      <xdr:col>10</xdr:col>
      <xdr:colOff>171450</xdr:colOff>
      <xdr:row>50</xdr:row>
      <xdr:rowOff>9525</xdr:rowOff>
    </xdr:to>
    <xdr:pic>
      <xdr:nvPicPr>
        <xdr:cNvPr id="20658" name="Picture 13">
          <a:extLst>
            <a:ext uri="{FF2B5EF4-FFF2-40B4-BE49-F238E27FC236}">
              <a16:creationId xmlns:a16="http://schemas.microsoft.com/office/drawing/2014/main" id="{00000000-0008-0000-0600-0000B2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76575" y="12153900"/>
          <a:ext cx="4572000" cy="1666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59</xdr:row>
      <xdr:rowOff>180975</xdr:rowOff>
    </xdr:from>
    <xdr:to>
      <xdr:col>3</xdr:col>
      <xdr:colOff>266700</xdr:colOff>
      <xdr:row>73</xdr:row>
      <xdr:rowOff>142875</xdr:rowOff>
    </xdr:to>
    <xdr:pic>
      <xdr:nvPicPr>
        <xdr:cNvPr id="20659" name="Picture 848">
          <a:extLst>
            <a:ext uri="{FF2B5EF4-FFF2-40B4-BE49-F238E27FC236}">
              <a16:creationId xmlns:a16="http://schemas.microsoft.com/office/drawing/2014/main" id="{00000000-0008-0000-0600-0000B3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16478250"/>
          <a:ext cx="2638425" cy="3829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57150</xdr:colOff>
      <xdr:row>59</xdr:row>
      <xdr:rowOff>95250</xdr:rowOff>
    </xdr:from>
    <xdr:to>
      <xdr:col>8</xdr:col>
      <xdr:colOff>66675</xdr:colOff>
      <xdr:row>75</xdr:row>
      <xdr:rowOff>257175</xdr:rowOff>
    </xdr:to>
    <xdr:pic>
      <xdr:nvPicPr>
        <xdr:cNvPr id="20660" name="圖片 9" descr="image_125">
          <a:extLst>
            <a:ext uri="{FF2B5EF4-FFF2-40B4-BE49-F238E27FC236}">
              <a16:creationId xmlns:a16="http://schemas.microsoft.com/office/drawing/2014/main" id="{00000000-0008-0000-0600-0000B45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3879" t="25099" r="4613" b="5486"/>
        <a:stretch>
          <a:fillRect/>
        </a:stretch>
      </xdr:blipFill>
      <xdr:spPr bwMode="auto">
        <a:xfrm>
          <a:off x="3162300" y="16392525"/>
          <a:ext cx="3009900" cy="458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76200</xdr:colOff>
      <xdr:row>80</xdr:row>
      <xdr:rowOff>85725</xdr:rowOff>
    </xdr:from>
    <xdr:to>
      <xdr:col>3</xdr:col>
      <xdr:colOff>152400</xdr:colOff>
      <xdr:row>96</xdr:row>
      <xdr:rowOff>114300</xdr:rowOff>
    </xdr:to>
    <xdr:pic>
      <xdr:nvPicPr>
        <xdr:cNvPr id="20661" name="圖片 10" descr="image_146">
          <a:extLst>
            <a:ext uri="{FF2B5EF4-FFF2-40B4-BE49-F238E27FC236}">
              <a16:creationId xmlns:a16="http://schemas.microsoft.com/office/drawing/2014/main" id="{00000000-0008-0000-0600-0000B55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0197" t="12003" r="15854" b="14262"/>
        <a:stretch>
          <a:fillRect/>
        </a:stretch>
      </xdr:blipFill>
      <xdr:spPr bwMode="auto">
        <a:xfrm>
          <a:off x="76200" y="22183725"/>
          <a:ext cx="2495550" cy="444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G66"/>
  <sheetViews>
    <sheetView topLeftCell="A3" workbookViewId="0">
      <selection activeCell="H22" sqref="H22"/>
    </sheetView>
  </sheetViews>
  <sheetFormatPr defaultRowHeight="17" x14ac:dyDescent="0.4"/>
  <cols>
    <col min="1" max="1" width="6.6328125" customWidth="1"/>
    <col min="2" max="2" width="11.6328125" bestFit="1" customWidth="1"/>
    <col min="3" max="3" width="9.453125" bestFit="1" customWidth="1"/>
    <col min="4" max="4" width="12.36328125" bestFit="1" customWidth="1"/>
    <col min="5" max="5" width="27.90625" bestFit="1" customWidth="1"/>
    <col min="6" max="6" width="19" bestFit="1" customWidth="1"/>
    <col min="7" max="7" width="11.90625" bestFit="1" customWidth="1"/>
  </cols>
  <sheetData>
    <row r="1" spans="1:7" s="564" customFormat="1" ht="27.5" x14ac:dyDescent="0.4">
      <c r="A1" s="564" t="s">
        <v>1660</v>
      </c>
    </row>
    <row r="2" spans="1:7" x14ac:dyDescent="0.4">
      <c r="A2" s="152" t="s">
        <v>1</v>
      </c>
      <c r="B2" s="14" t="s">
        <v>1663</v>
      </c>
      <c r="C2" s="15" t="s">
        <v>146</v>
      </c>
      <c r="D2" s="13" t="s">
        <v>102</v>
      </c>
      <c r="E2" s="15"/>
      <c r="F2" s="135" t="s">
        <v>1637</v>
      </c>
      <c r="G2" s="442" t="s">
        <v>1102</v>
      </c>
    </row>
    <row r="3" spans="1:7" x14ac:dyDescent="0.4">
      <c r="A3" s="155">
        <v>9</v>
      </c>
      <c r="B3" s="15" t="s">
        <v>1088</v>
      </c>
      <c r="C3" s="15" t="s">
        <v>9</v>
      </c>
      <c r="D3" s="15" t="s">
        <v>105</v>
      </c>
      <c r="E3" s="119" t="s">
        <v>370</v>
      </c>
      <c r="F3" s="135" t="s">
        <v>1638</v>
      </c>
      <c r="G3" s="443">
        <v>10000</v>
      </c>
    </row>
    <row r="4" spans="1:7" x14ac:dyDescent="0.4">
      <c r="A4" s="155">
        <v>45</v>
      </c>
      <c r="B4" s="14" t="s">
        <v>1100</v>
      </c>
      <c r="C4" s="15" t="s">
        <v>9</v>
      </c>
      <c r="D4" s="13" t="s">
        <v>106</v>
      </c>
      <c r="E4" s="142" t="s">
        <v>1662</v>
      </c>
      <c r="F4" s="116" t="s">
        <v>1640</v>
      </c>
      <c r="G4" s="443">
        <v>10000</v>
      </c>
    </row>
    <row r="5" spans="1:7" x14ac:dyDescent="0.4">
      <c r="A5" s="5">
        <v>208</v>
      </c>
      <c r="B5" s="4" t="s">
        <v>1091</v>
      </c>
      <c r="C5" s="4" t="s">
        <v>772</v>
      </c>
      <c r="D5" s="5" t="s">
        <v>105</v>
      </c>
      <c r="E5" s="36" t="s">
        <v>780</v>
      </c>
      <c r="F5" s="34" t="s">
        <v>1427</v>
      </c>
      <c r="G5" s="443">
        <v>10000</v>
      </c>
    </row>
    <row r="6" spans="1:7" x14ac:dyDescent="0.4">
      <c r="A6" s="155">
        <v>213</v>
      </c>
      <c r="B6" s="4" t="s">
        <v>1245</v>
      </c>
      <c r="C6" s="4" t="s">
        <v>9</v>
      </c>
      <c r="D6" s="4" t="s">
        <v>836</v>
      </c>
      <c r="E6" s="36" t="s">
        <v>835</v>
      </c>
      <c r="F6" s="34" t="s">
        <v>1427</v>
      </c>
      <c r="G6" s="443">
        <v>10000</v>
      </c>
    </row>
    <row r="7" spans="1:7" x14ac:dyDescent="0.4">
      <c r="A7" s="155">
        <v>223</v>
      </c>
      <c r="B7" s="172" t="s">
        <v>1092</v>
      </c>
      <c r="C7" s="172" t="s">
        <v>9</v>
      </c>
      <c r="D7" s="155" t="s">
        <v>105</v>
      </c>
      <c r="E7" s="180" t="s">
        <v>829</v>
      </c>
      <c r="F7" s="177" t="s">
        <v>1427</v>
      </c>
      <c r="G7" s="443">
        <v>8000</v>
      </c>
    </row>
    <row r="8" spans="1:7" x14ac:dyDescent="0.4">
      <c r="A8" s="5">
        <v>224</v>
      </c>
      <c r="B8" s="33" t="s">
        <v>1093</v>
      </c>
      <c r="C8" s="4" t="s">
        <v>483</v>
      </c>
      <c r="D8" s="5" t="s">
        <v>270</v>
      </c>
      <c r="E8" s="36" t="s">
        <v>852</v>
      </c>
      <c r="F8" s="34" t="s">
        <v>1427</v>
      </c>
      <c r="G8" s="443">
        <v>10000</v>
      </c>
    </row>
    <row r="9" spans="1:7" x14ac:dyDescent="0.4">
      <c r="A9" s="5">
        <v>229</v>
      </c>
      <c r="B9" s="33" t="s">
        <v>1094</v>
      </c>
      <c r="C9" s="4" t="s">
        <v>633</v>
      </c>
      <c r="D9" s="5" t="s">
        <v>103</v>
      </c>
      <c r="E9" s="36" t="s">
        <v>877</v>
      </c>
      <c r="F9" s="34" t="s">
        <v>1427</v>
      </c>
      <c r="G9" s="443">
        <v>14000</v>
      </c>
    </row>
    <row r="10" spans="1:7" x14ac:dyDescent="0.4">
      <c r="A10" s="155">
        <v>235</v>
      </c>
      <c r="B10" s="4" t="s">
        <v>1090</v>
      </c>
      <c r="C10" s="4" t="s">
        <v>483</v>
      </c>
      <c r="D10" s="155" t="s">
        <v>105</v>
      </c>
      <c r="E10" s="180" t="s">
        <v>898</v>
      </c>
      <c r="F10" s="177" t="s">
        <v>1427</v>
      </c>
      <c r="G10" s="443">
        <v>11000</v>
      </c>
    </row>
    <row r="11" spans="1:7" x14ac:dyDescent="0.4">
      <c r="F11" s="565" t="s">
        <v>1661</v>
      </c>
      <c r="G11" s="566">
        <f>SUM(G3:G10)</f>
        <v>83000</v>
      </c>
    </row>
    <row r="12" spans="1:7" ht="27.5" x14ac:dyDescent="0.4">
      <c r="A12" s="564" t="s">
        <v>1664</v>
      </c>
    </row>
    <row r="13" spans="1:7" x14ac:dyDescent="0.4">
      <c r="A13" s="152" t="s">
        <v>1</v>
      </c>
      <c r="B13" s="14" t="s">
        <v>1085</v>
      </c>
      <c r="C13" s="15" t="s">
        <v>146</v>
      </c>
      <c r="D13" s="13" t="s">
        <v>102</v>
      </c>
      <c r="E13" s="15"/>
      <c r="F13" s="135" t="s">
        <v>1637</v>
      </c>
      <c r="G13" s="442" t="s">
        <v>1102</v>
      </c>
    </row>
    <row r="14" spans="1:7" x14ac:dyDescent="0.4">
      <c r="A14" s="155">
        <v>55</v>
      </c>
      <c r="B14" s="14"/>
      <c r="C14" s="15" t="s">
        <v>11</v>
      </c>
      <c r="D14" s="13" t="s">
        <v>105</v>
      </c>
      <c r="E14" s="16" t="s">
        <v>373</v>
      </c>
      <c r="F14" s="116" t="s">
        <v>1642</v>
      </c>
      <c r="G14" s="443">
        <v>6000</v>
      </c>
    </row>
    <row r="15" spans="1:7" x14ac:dyDescent="0.4">
      <c r="A15" s="155">
        <v>56</v>
      </c>
      <c r="B15" s="14"/>
      <c r="C15" s="15" t="s">
        <v>11</v>
      </c>
      <c r="D15" s="13" t="s">
        <v>105</v>
      </c>
      <c r="E15" s="119" t="s">
        <v>109</v>
      </c>
      <c r="F15" s="116" t="s">
        <v>1642</v>
      </c>
      <c r="G15" s="443">
        <v>6000</v>
      </c>
    </row>
    <row r="16" spans="1:7" x14ac:dyDescent="0.4">
      <c r="A16" s="155">
        <v>74</v>
      </c>
      <c r="B16" s="120"/>
      <c r="C16" s="120" t="s">
        <v>11</v>
      </c>
      <c r="D16" s="120" t="s">
        <v>105</v>
      </c>
      <c r="E16" s="133" t="s">
        <v>212</v>
      </c>
      <c r="F16" s="116" t="s">
        <v>1642</v>
      </c>
      <c r="G16" s="443">
        <v>6000</v>
      </c>
    </row>
    <row r="17" spans="1:7" x14ac:dyDescent="0.4">
      <c r="A17" s="5">
        <v>275</v>
      </c>
      <c r="B17" s="33"/>
      <c r="C17" s="4" t="s">
        <v>490</v>
      </c>
      <c r="D17" s="5" t="s">
        <v>105</v>
      </c>
      <c r="E17" s="492" t="s">
        <v>1256</v>
      </c>
      <c r="F17" s="7" t="s">
        <v>1641</v>
      </c>
      <c r="G17" s="443">
        <v>6000</v>
      </c>
    </row>
    <row r="18" spans="1:7" x14ac:dyDescent="0.4">
      <c r="A18" s="5">
        <v>314</v>
      </c>
      <c r="B18" s="519"/>
      <c r="C18" s="172" t="s">
        <v>656</v>
      </c>
      <c r="D18" s="5" t="s">
        <v>1169</v>
      </c>
      <c r="E18" s="36" t="s">
        <v>1546</v>
      </c>
      <c r="F18" s="34" t="s">
        <v>1641</v>
      </c>
      <c r="G18" s="443">
        <v>6000</v>
      </c>
    </row>
    <row r="19" spans="1:7" x14ac:dyDescent="0.4">
      <c r="F19" s="565" t="s">
        <v>1661</v>
      </c>
      <c r="G19" s="566">
        <f>SUM(G12:G18)</f>
        <v>30000</v>
      </c>
    </row>
    <row r="20" spans="1:7" ht="27.5" x14ac:dyDescent="0.4">
      <c r="A20" s="564" t="s">
        <v>1667</v>
      </c>
    </row>
    <row r="21" spans="1:7" x14ac:dyDescent="0.4">
      <c r="A21" s="152" t="s">
        <v>1</v>
      </c>
      <c r="B21" s="14" t="s">
        <v>1085</v>
      </c>
      <c r="C21" s="15" t="s">
        <v>146</v>
      </c>
      <c r="D21" s="13" t="s">
        <v>102</v>
      </c>
      <c r="E21" s="15"/>
      <c r="F21" s="135" t="s">
        <v>1637</v>
      </c>
      <c r="G21" s="442" t="s">
        <v>1102</v>
      </c>
    </row>
    <row r="22" spans="1:7" x14ac:dyDescent="0.4">
      <c r="A22" s="155">
        <v>238</v>
      </c>
      <c r="B22" s="33" t="s">
        <v>1666</v>
      </c>
      <c r="C22" s="4" t="s">
        <v>846</v>
      </c>
      <c r="D22" s="5" t="s">
        <v>657</v>
      </c>
      <c r="E22" s="36" t="s">
        <v>1106</v>
      </c>
      <c r="F22" s="34" t="s">
        <v>1650</v>
      </c>
      <c r="G22" s="443">
        <v>16500</v>
      </c>
    </row>
    <row r="23" spans="1:7" x14ac:dyDescent="0.4">
      <c r="F23" s="565" t="s">
        <v>1661</v>
      </c>
      <c r="G23" s="566">
        <f>SUM(G22)</f>
        <v>16500</v>
      </c>
    </row>
    <row r="24" spans="1:7" ht="27.5" x14ac:dyDescent="0.4">
      <c r="A24" s="564" t="s">
        <v>1668</v>
      </c>
    </row>
    <row r="25" spans="1:7" x14ac:dyDescent="0.4">
      <c r="A25" s="152" t="s">
        <v>1</v>
      </c>
      <c r="B25" s="14" t="s">
        <v>1085</v>
      </c>
      <c r="C25" s="15" t="s">
        <v>146</v>
      </c>
      <c r="D25" s="13" t="s">
        <v>102</v>
      </c>
      <c r="E25" s="15"/>
      <c r="F25" s="135" t="s">
        <v>1637</v>
      </c>
      <c r="G25" s="442" t="s">
        <v>1102</v>
      </c>
    </row>
    <row r="26" spans="1:7" x14ac:dyDescent="0.4">
      <c r="A26" s="155">
        <v>70</v>
      </c>
      <c r="B26" s="14"/>
      <c r="C26" s="15" t="s">
        <v>9</v>
      </c>
      <c r="D26" s="13" t="s">
        <v>135</v>
      </c>
      <c r="E26" s="142" t="s">
        <v>1669</v>
      </c>
      <c r="F26" s="116" t="s">
        <v>1645</v>
      </c>
      <c r="G26" s="443">
        <v>14000</v>
      </c>
    </row>
    <row r="27" spans="1:7" x14ac:dyDescent="0.4">
      <c r="A27" s="155">
        <v>138</v>
      </c>
      <c r="B27" s="3"/>
      <c r="C27" s="18" t="s">
        <v>11</v>
      </c>
      <c r="D27" s="17" t="s">
        <v>343</v>
      </c>
      <c r="E27" s="19" t="s">
        <v>411</v>
      </c>
      <c r="F27" s="32" t="s">
        <v>1648</v>
      </c>
      <c r="G27" s="443">
        <v>7000</v>
      </c>
    </row>
    <row r="28" spans="1:7" x14ac:dyDescent="0.4">
      <c r="F28" s="565" t="s">
        <v>1661</v>
      </c>
      <c r="G28" s="566">
        <f>SUM(G26:G27)</f>
        <v>21000</v>
      </c>
    </row>
    <row r="29" spans="1:7" ht="27.5" x14ac:dyDescent="0.4">
      <c r="A29" s="564" t="s">
        <v>1670</v>
      </c>
    </row>
    <row r="30" spans="1:7" x14ac:dyDescent="0.4">
      <c r="A30" s="152" t="s">
        <v>1</v>
      </c>
      <c r="B30" s="14" t="s">
        <v>1085</v>
      </c>
      <c r="C30" s="15" t="s">
        <v>146</v>
      </c>
      <c r="D30" s="13" t="s">
        <v>102</v>
      </c>
      <c r="E30" s="15"/>
      <c r="F30" s="135" t="s">
        <v>1637</v>
      </c>
      <c r="G30" s="442" t="s">
        <v>1102</v>
      </c>
    </row>
    <row r="31" spans="1:7" x14ac:dyDescent="0.4">
      <c r="A31" s="5">
        <v>64</v>
      </c>
      <c r="B31" s="14" t="s">
        <v>1098</v>
      </c>
      <c r="C31" s="15" t="s">
        <v>11</v>
      </c>
      <c r="D31" s="13" t="s">
        <v>104</v>
      </c>
      <c r="E31" s="119" t="s">
        <v>374</v>
      </c>
      <c r="F31" s="116" t="s">
        <v>1644</v>
      </c>
      <c r="G31" s="443">
        <v>8000</v>
      </c>
    </row>
    <row r="32" spans="1:7" x14ac:dyDescent="0.4">
      <c r="A32" s="155">
        <v>98</v>
      </c>
      <c r="B32" s="14" t="s">
        <v>1098</v>
      </c>
      <c r="C32" s="14" t="s">
        <v>16</v>
      </c>
      <c r="D32" s="14"/>
      <c r="E32" s="137" t="s">
        <v>289</v>
      </c>
      <c r="F32" s="14" t="s">
        <v>1647</v>
      </c>
      <c r="G32" s="443">
        <v>7000</v>
      </c>
    </row>
    <row r="33" spans="1:7" x14ac:dyDescent="0.4">
      <c r="A33" s="5">
        <v>123</v>
      </c>
      <c r="B33" s="493" t="s">
        <v>1095</v>
      </c>
      <c r="C33" s="120" t="s">
        <v>14</v>
      </c>
      <c r="D33" s="120" t="s">
        <v>105</v>
      </c>
      <c r="E33" s="133" t="s">
        <v>301</v>
      </c>
      <c r="F33" s="120" t="s">
        <v>1428</v>
      </c>
      <c r="G33" s="443">
        <v>10000</v>
      </c>
    </row>
    <row r="34" spans="1:7" x14ac:dyDescent="0.4">
      <c r="A34" s="5">
        <v>124</v>
      </c>
      <c r="B34" s="493" t="s">
        <v>1098</v>
      </c>
      <c r="C34" s="120" t="s">
        <v>14</v>
      </c>
      <c r="D34" s="120" t="s">
        <v>105</v>
      </c>
      <c r="E34" s="133" t="s">
        <v>303</v>
      </c>
      <c r="F34" s="120" t="s">
        <v>1428</v>
      </c>
      <c r="G34" s="443">
        <v>10000</v>
      </c>
    </row>
    <row r="35" spans="1:7" x14ac:dyDescent="0.4">
      <c r="A35" s="5">
        <v>125</v>
      </c>
      <c r="B35" s="493" t="s">
        <v>1098</v>
      </c>
      <c r="C35" s="120" t="s">
        <v>14</v>
      </c>
      <c r="D35" s="120" t="s">
        <v>105</v>
      </c>
      <c r="E35" s="133" t="s">
        <v>305</v>
      </c>
      <c r="F35" s="120" t="s">
        <v>1428</v>
      </c>
      <c r="G35" s="443">
        <v>10000</v>
      </c>
    </row>
    <row r="36" spans="1:7" x14ac:dyDescent="0.4">
      <c r="A36" s="5">
        <v>127</v>
      </c>
      <c r="B36" s="493" t="s">
        <v>1098</v>
      </c>
      <c r="C36" s="120" t="s">
        <v>14</v>
      </c>
      <c r="D36" s="120" t="s">
        <v>105</v>
      </c>
      <c r="E36" s="133" t="s">
        <v>309</v>
      </c>
      <c r="F36" s="120" t="s">
        <v>1428</v>
      </c>
      <c r="G36" s="443">
        <v>10000</v>
      </c>
    </row>
    <row r="37" spans="1:7" x14ac:dyDescent="0.4">
      <c r="A37" s="5">
        <v>152</v>
      </c>
      <c r="B37" s="33" t="s">
        <v>1098</v>
      </c>
      <c r="C37" s="4" t="s">
        <v>11</v>
      </c>
      <c r="D37" s="5" t="s">
        <v>105</v>
      </c>
      <c r="E37" s="36" t="s">
        <v>754</v>
      </c>
      <c r="F37" s="34" t="s">
        <v>1428</v>
      </c>
      <c r="G37" s="443">
        <v>8000</v>
      </c>
    </row>
    <row r="38" spans="1:7" x14ac:dyDescent="0.4">
      <c r="A38" s="5">
        <v>201</v>
      </c>
      <c r="B38" s="33" t="s">
        <v>1098</v>
      </c>
      <c r="C38" s="4" t="s">
        <v>11</v>
      </c>
      <c r="D38" s="5" t="s">
        <v>105</v>
      </c>
      <c r="E38" s="36" t="s">
        <v>725</v>
      </c>
      <c r="F38" s="34" t="s">
        <v>1428</v>
      </c>
      <c r="G38" s="443">
        <v>8000</v>
      </c>
    </row>
    <row r="39" spans="1:7" x14ac:dyDescent="0.4">
      <c r="A39" s="5">
        <v>207</v>
      </c>
      <c r="B39" s="33" t="s">
        <v>1098</v>
      </c>
      <c r="C39" s="4" t="s">
        <v>776</v>
      </c>
      <c r="D39" s="5" t="s">
        <v>773</v>
      </c>
      <c r="E39" s="36" t="s">
        <v>777</v>
      </c>
      <c r="F39" s="34" t="s">
        <v>1428</v>
      </c>
      <c r="G39" s="443">
        <v>8000</v>
      </c>
    </row>
    <row r="40" spans="1:7" x14ac:dyDescent="0.4">
      <c r="A40" s="5">
        <v>245</v>
      </c>
      <c r="B40" s="4" t="s">
        <v>1095</v>
      </c>
      <c r="C40" s="4" t="s">
        <v>991</v>
      </c>
      <c r="D40" s="5" t="s">
        <v>992</v>
      </c>
      <c r="E40" s="36" t="s">
        <v>993</v>
      </c>
      <c r="F40" s="34" t="s">
        <v>1651</v>
      </c>
      <c r="G40" s="443">
        <v>11000</v>
      </c>
    </row>
    <row r="41" spans="1:7" x14ac:dyDescent="0.4">
      <c r="A41" s="5">
        <v>268</v>
      </c>
      <c r="B41" s="5"/>
      <c r="C41" s="4" t="s">
        <v>490</v>
      </c>
      <c r="D41" s="5" t="s">
        <v>105</v>
      </c>
      <c r="E41" s="36" t="s">
        <v>1212</v>
      </c>
      <c r="F41" s="34" t="s">
        <v>1652</v>
      </c>
      <c r="G41" s="443">
        <v>8000</v>
      </c>
    </row>
    <row r="42" spans="1:7" x14ac:dyDescent="0.4">
      <c r="F42" s="565" t="s">
        <v>1661</v>
      </c>
      <c r="G42" s="566">
        <f>SUM(G31:G41)</f>
        <v>98000</v>
      </c>
    </row>
    <row r="43" spans="1:7" ht="27.5" x14ac:dyDescent="0.4">
      <c r="A43" s="564" t="s">
        <v>1671</v>
      </c>
    </row>
    <row r="44" spans="1:7" x14ac:dyDescent="0.4">
      <c r="A44" s="152" t="s">
        <v>1</v>
      </c>
      <c r="B44" s="14" t="s">
        <v>1085</v>
      </c>
      <c r="C44" s="15" t="s">
        <v>146</v>
      </c>
      <c r="D44" s="13" t="s">
        <v>102</v>
      </c>
      <c r="E44" s="15"/>
      <c r="F44" s="135" t="s">
        <v>1637</v>
      </c>
      <c r="G44" s="442" t="s">
        <v>1102</v>
      </c>
    </row>
    <row r="45" spans="1:7" x14ac:dyDescent="0.4">
      <c r="A45" s="155">
        <v>2</v>
      </c>
      <c r="B45" s="33" t="s">
        <v>1087</v>
      </c>
      <c r="C45" s="15" t="s">
        <v>11</v>
      </c>
      <c r="D45" s="13" t="s">
        <v>104</v>
      </c>
      <c r="E45" s="119" t="s">
        <v>1203</v>
      </c>
      <c r="F45" s="135" t="s">
        <v>1638</v>
      </c>
      <c r="G45" s="443">
        <v>6000</v>
      </c>
    </row>
    <row r="46" spans="1:7" x14ac:dyDescent="0.4">
      <c r="A46" s="5">
        <v>20</v>
      </c>
      <c r="B46" s="33" t="s">
        <v>1374</v>
      </c>
      <c r="C46" s="15" t="s">
        <v>490</v>
      </c>
      <c r="D46" s="13" t="s">
        <v>104</v>
      </c>
      <c r="E46" s="119" t="s">
        <v>1375</v>
      </c>
      <c r="F46" s="135" t="s">
        <v>1639</v>
      </c>
      <c r="G46" s="443">
        <v>6000</v>
      </c>
    </row>
    <row r="47" spans="1:7" x14ac:dyDescent="0.4">
      <c r="A47" s="5">
        <v>59</v>
      </c>
      <c r="B47" s="13" t="s">
        <v>1447</v>
      </c>
      <c r="C47" s="15" t="s">
        <v>14</v>
      </c>
      <c r="D47" s="13" t="s">
        <v>105</v>
      </c>
      <c r="E47" s="119" t="s">
        <v>110</v>
      </c>
      <c r="F47" s="116" t="s">
        <v>1643</v>
      </c>
      <c r="G47" s="443">
        <v>7000</v>
      </c>
    </row>
    <row r="48" spans="1:7" x14ac:dyDescent="0.4">
      <c r="A48" s="5">
        <v>87</v>
      </c>
      <c r="B48" s="7" t="s">
        <v>1087</v>
      </c>
      <c r="C48" s="120" t="s">
        <v>11</v>
      </c>
      <c r="D48" s="120" t="s">
        <v>105</v>
      </c>
      <c r="E48" s="133" t="s">
        <v>1188</v>
      </c>
      <c r="F48" s="135" t="s">
        <v>1638</v>
      </c>
      <c r="G48" s="443">
        <v>6000</v>
      </c>
    </row>
    <row r="49" spans="1:7" x14ac:dyDescent="0.4">
      <c r="A49" s="155">
        <v>88</v>
      </c>
      <c r="B49" s="7" t="s">
        <v>1610</v>
      </c>
      <c r="C49" s="15" t="s">
        <v>11</v>
      </c>
      <c r="D49" s="13" t="s">
        <v>104</v>
      </c>
      <c r="E49" s="119" t="s">
        <v>176</v>
      </c>
      <c r="F49" s="116" t="s">
        <v>1646</v>
      </c>
      <c r="G49" s="443">
        <v>6000</v>
      </c>
    </row>
    <row r="50" spans="1:7" x14ac:dyDescent="0.4">
      <c r="A50" s="155">
        <v>89</v>
      </c>
      <c r="B50" s="7" t="s">
        <v>1087</v>
      </c>
      <c r="C50" s="15" t="s">
        <v>14</v>
      </c>
      <c r="D50" s="13" t="s">
        <v>104</v>
      </c>
      <c r="E50" s="119" t="s">
        <v>361</v>
      </c>
      <c r="F50" s="135" t="s">
        <v>1638</v>
      </c>
      <c r="G50" s="443">
        <v>7000</v>
      </c>
    </row>
    <row r="51" spans="1:7" x14ac:dyDescent="0.4">
      <c r="A51" s="33">
        <v>159</v>
      </c>
      <c r="B51" s="33" t="s">
        <v>1087</v>
      </c>
      <c r="C51" s="5" t="s">
        <v>14</v>
      </c>
      <c r="D51" s="4" t="s">
        <v>105</v>
      </c>
      <c r="E51" s="124" t="s">
        <v>538</v>
      </c>
      <c r="F51" s="135" t="s">
        <v>1638</v>
      </c>
      <c r="G51" s="443">
        <v>8000</v>
      </c>
    </row>
    <row r="52" spans="1:7" x14ac:dyDescent="0.4">
      <c r="A52" s="5">
        <v>202</v>
      </c>
      <c r="B52" s="13" t="s">
        <v>1447</v>
      </c>
      <c r="C52" s="4" t="s">
        <v>11</v>
      </c>
      <c r="D52" s="5" t="s">
        <v>105</v>
      </c>
      <c r="E52" s="36" t="s">
        <v>851</v>
      </c>
      <c r="F52" s="135" t="s">
        <v>1649</v>
      </c>
      <c r="G52" s="443">
        <v>6000</v>
      </c>
    </row>
    <row r="53" spans="1:7" x14ac:dyDescent="0.4">
      <c r="A53" s="5">
        <v>215</v>
      </c>
      <c r="B53" s="33" t="s">
        <v>1087</v>
      </c>
      <c r="C53" s="4" t="s">
        <v>240</v>
      </c>
      <c r="D53" s="5" t="s">
        <v>235</v>
      </c>
      <c r="E53" s="36" t="s">
        <v>1187</v>
      </c>
      <c r="F53" s="34" t="s">
        <v>1427</v>
      </c>
      <c r="G53" s="443">
        <v>8000</v>
      </c>
    </row>
    <row r="54" spans="1:7" x14ac:dyDescent="0.4">
      <c r="A54" s="5">
        <v>219</v>
      </c>
      <c r="B54" s="33" t="s">
        <v>1087</v>
      </c>
      <c r="C54" s="4" t="s">
        <v>240</v>
      </c>
      <c r="D54" s="5" t="s">
        <v>235</v>
      </c>
      <c r="E54" s="36" t="s">
        <v>1185</v>
      </c>
      <c r="F54" s="34" t="s">
        <v>1427</v>
      </c>
      <c r="G54" s="443">
        <v>5000</v>
      </c>
    </row>
    <row r="55" spans="1:7" x14ac:dyDescent="0.4">
      <c r="A55" s="5">
        <v>226</v>
      </c>
      <c r="B55" s="33" t="s">
        <v>1087</v>
      </c>
      <c r="C55" s="172" t="s">
        <v>240</v>
      </c>
      <c r="D55" s="155" t="s">
        <v>855</v>
      </c>
      <c r="E55" s="180" t="s">
        <v>860</v>
      </c>
      <c r="F55" s="177" t="s">
        <v>1427</v>
      </c>
      <c r="G55" s="443">
        <v>5000</v>
      </c>
    </row>
    <row r="56" spans="1:7" x14ac:dyDescent="0.4">
      <c r="A56" s="5">
        <v>242</v>
      </c>
      <c r="B56" s="33" t="s">
        <v>864</v>
      </c>
      <c r="C56" s="4" t="s">
        <v>483</v>
      </c>
      <c r="D56" s="5" t="s">
        <v>270</v>
      </c>
      <c r="E56" s="36" t="s">
        <v>942</v>
      </c>
      <c r="F56" s="6" t="s">
        <v>1427</v>
      </c>
      <c r="G56" s="443">
        <v>11000</v>
      </c>
    </row>
    <row r="57" spans="1:7" x14ac:dyDescent="0.4">
      <c r="A57" s="5">
        <v>248</v>
      </c>
      <c r="B57" s="4" t="s">
        <v>1191</v>
      </c>
      <c r="C57" s="4" t="s">
        <v>240</v>
      </c>
      <c r="D57" s="5" t="s">
        <v>105</v>
      </c>
      <c r="E57" s="36" t="s">
        <v>986</v>
      </c>
      <c r="F57" s="6" t="s">
        <v>1427</v>
      </c>
      <c r="G57" s="443">
        <v>10000</v>
      </c>
    </row>
    <row r="58" spans="1:7" x14ac:dyDescent="0.4">
      <c r="A58" s="5">
        <v>271</v>
      </c>
      <c r="B58" s="33" t="s">
        <v>1253</v>
      </c>
      <c r="C58" s="4" t="s">
        <v>9</v>
      </c>
      <c r="D58" s="5" t="s">
        <v>235</v>
      </c>
      <c r="E58" s="180" t="s">
        <v>1254</v>
      </c>
      <c r="F58" s="6" t="s">
        <v>1427</v>
      </c>
      <c r="G58" s="443">
        <v>5000</v>
      </c>
    </row>
    <row r="59" spans="1:7" x14ac:dyDescent="0.4">
      <c r="A59" s="5">
        <v>277</v>
      </c>
      <c r="B59" s="33" t="s">
        <v>1253</v>
      </c>
      <c r="C59" s="4" t="s">
        <v>11</v>
      </c>
      <c r="D59" s="5" t="s">
        <v>105</v>
      </c>
      <c r="E59" s="36" t="s">
        <v>1228</v>
      </c>
      <c r="F59" s="34" t="s">
        <v>1653</v>
      </c>
      <c r="G59" s="443">
        <v>6000</v>
      </c>
    </row>
    <row r="60" spans="1:7" ht="34" x14ac:dyDescent="0.4">
      <c r="A60" s="5">
        <v>297</v>
      </c>
      <c r="B60" s="33" t="s">
        <v>1253</v>
      </c>
      <c r="C60" s="4" t="s">
        <v>11</v>
      </c>
      <c r="D60" s="33" t="s">
        <v>1672</v>
      </c>
      <c r="E60" s="36" t="s">
        <v>1412</v>
      </c>
      <c r="F60" s="34" t="s">
        <v>1654</v>
      </c>
      <c r="G60" s="443">
        <v>6000</v>
      </c>
    </row>
    <row r="61" spans="1:7" x14ac:dyDescent="0.4">
      <c r="A61" s="5">
        <v>305</v>
      </c>
      <c r="B61" s="13" t="s">
        <v>1447</v>
      </c>
      <c r="C61" s="172" t="s">
        <v>240</v>
      </c>
      <c r="D61" s="5" t="s">
        <v>1301</v>
      </c>
      <c r="E61" s="36" t="s">
        <v>1448</v>
      </c>
      <c r="F61" s="34" t="s">
        <v>1655</v>
      </c>
      <c r="G61" s="443">
        <v>7000</v>
      </c>
    </row>
    <row r="62" spans="1:7" x14ac:dyDescent="0.4">
      <c r="A62" s="5">
        <v>306</v>
      </c>
      <c r="B62" s="13" t="s">
        <v>1447</v>
      </c>
      <c r="C62" s="172" t="s">
        <v>240</v>
      </c>
      <c r="D62" s="5" t="s">
        <v>103</v>
      </c>
      <c r="E62" s="36" t="s">
        <v>1451</v>
      </c>
      <c r="F62" s="34" t="s">
        <v>1656</v>
      </c>
      <c r="G62" s="443">
        <v>7000</v>
      </c>
    </row>
    <row r="63" spans="1:7" x14ac:dyDescent="0.4">
      <c r="A63" s="5">
        <v>310</v>
      </c>
      <c r="B63" s="13" t="s">
        <v>1447</v>
      </c>
      <c r="C63" s="172" t="s">
        <v>656</v>
      </c>
      <c r="D63" s="5" t="s">
        <v>1169</v>
      </c>
      <c r="E63" s="36" t="s">
        <v>1549</v>
      </c>
      <c r="F63" s="34" t="s">
        <v>1654</v>
      </c>
      <c r="G63" s="443">
        <v>5000</v>
      </c>
    </row>
    <row r="64" spans="1:7" x14ac:dyDescent="0.4">
      <c r="A64" s="5">
        <v>313</v>
      </c>
      <c r="B64" s="13" t="s">
        <v>1447</v>
      </c>
      <c r="C64" s="172" t="s">
        <v>656</v>
      </c>
      <c r="D64" s="5" t="s">
        <v>1536</v>
      </c>
      <c r="E64" s="36" t="s">
        <v>1551</v>
      </c>
      <c r="F64" s="34" t="s">
        <v>1657</v>
      </c>
      <c r="G64" s="443">
        <v>7000</v>
      </c>
    </row>
    <row r="65" spans="1:7" x14ac:dyDescent="0.4">
      <c r="A65" s="5">
        <v>321</v>
      </c>
      <c r="B65" s="13" t="s">
        <v>1447</v>
      </c>
      <c r="C65" s="172" t="s">
        <v>1611</v>
      </c>
      <c r="D65" s="5" t="s">
        <v>1612</v>
      </c>
      <c r="E65" s="36" t="s">
        <v>1613</v>
      </c>
      <c r="F65" s="34" t="s">
        <v>1658</v>
      </c>
      <c r="G65" s="443">
        <v>7000</v>
      </c>
    </row>
    <row r="66" spans="1:7" x14ac:dyDescent="0.4">
      <c r="F66" s="565" t="s">
        <v>1661</v>
      </c>
      <c r="G66" s="566">
        <f>SUM(G45:G65)</f>
        <v>141000</v>
      </c>
    </row>
  </sheetData>
  <phoneticPr fontId="2" type="noConversion"/>
  <pageMargins left="0" right="0" top="0" bottom="0" header="0.31496062992125984" footer="0.31496062992125984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 filterMode="1">
    <tabColor theme="9"/>
  </sheetPr>
  <dimension ref="A1:P146"/>
  <sheetViews>
    <sheetView zoomScale="90" workbookViewId="0">
      <pane xSplit="7" ySplit="2" topLeftCell="H3" activePane="bottomRight" state="frozen"/>
      <selection pane="topRight" activeCell="E1" sqref="E1"/>
      <selection pane="bottomLeft" activeCell="A3" sqref="A3"/>
      <selection pane="bottomRight" activeCell="G29" sqref="G29"/>
    </sheetView>
  </sheetViews>
  <sheetFormatPr defaultColWidth="9" defaultRowHeight="32.25" customHeight="1" x14ac:dyDescent="0.4"/>
  <cols>
    <col min="1" max="1" width="5.453125" style="117" bestFit="1" customWidth="1"/>
    <col min="2" max="2" width="4.26953125" style="297" customWidth="1"/>
    <col min="3" max="3" width="11.7265625" style="145" customWidth="1"/>
    <col min="4" max="4" width="11.6328125" style="145" bestFit="1" customWidth="1"/>
    <col min="5" max="5" width="11.453125" style="146" customWidth="1"/>
    <col min="6" max="6" width="11.453125" style="144" customWidth="1"/>
    <col min="7" max="7" width="39.26953125" style="147" customWidth="1"/>
    <col min="8" max="8" width="19.26953125" style="144" bestFit="1" customWidth="1"/>
    <col min="9" max="10" width="10" style="117" bestFit="1" customWidth="1"/>
    <col min="11" max="16384" width="9" style="117"/>
  </cols>
  <sheetData>
    <row r="1" spans="1:13" ht="23.25" customHeight="1" x14ac:dyDescent="0.4">
      <c r="B1" s="461"/>
      <c r="C1" s="460"/>
      <c r="D1" s="460"/>
      <c r="E1" s="460"/>
      <c r="F1" s="461" t="s">
        <v>1061</v>
      </c>
      <c r="G1" s="460"/>
      <c r="H1" s="460"/>
      <c r="K1" s="117" t="s">
        <v>1104</v>
      </c>
      <c r="M1" s="117" t="s">
        <v>1105</v>
      </c>
    </row>
    <row r="2" spans="1:13" ht="27.75" customHeight="1" x14ac:dyDescent="0.4">
      <c r="A2" s="13" t="s">
        <v>1262</v>
      </c>
      <c r="B2" s="152" t="s">
        <v>1</v>
      </c>
      <c r="C2" s="14" t="s">
        <v>632</v>
      </c>
      <c r="D2" s="14" t="s">
        <v>1085</v>
      </c>
      <c r="E2" s="15" t="s">
        <v>146</v>
      </c>
      <c r="F2" s="13" t="s">
        <v>102</v>
      </c>
      <c r="G2" s="15"/>
      <c r="H2" s="135" t="s">
        <v>1637</v>
      </c>
      <c r="I2" s="442" t="s">
        <v>1102</v>
      </c>
    </row>
    <row r="3" spans="1:13" ht="27.75" customHeight="1" x14ac:dyDescent="0.4">
      <c r="A3" s="13">
        <v>1</v>
      </c>
      <c r="B3" s="155">
        <v>2</v>
      </c>
      <c r="C3" s="33" t="s">
        <v>1086</v>
      </c>
      <c r="D3" s="33" t="s">
        <v>1087</v>
      </c>
      <c r="E3" s="15" t="s">
        <v>11</v>
      </c>
      <c r="F3" s="13" t="s">
        <v>104</v>
      </c>
      <c r="G3" s="119" t="s">
        <v>1203</v>
      </c>
      <c r="H3" s="135" t="s">
        <v>1638</v>
      </c>
      <c r="I3" s="443">
        <v>6000</v>
      </c>
      <c r="J3" s="397">
        <v>160000</v>
      </c>
    </row>
    <row r="4" spans="1:13" ht="31.5" hidden="1" customHeight="1" x14ac:dyDescent="0.4">
      <c r="A4" s="13">
        <v>2</v>
      </c>
      <c r="B4" s="155">
        <v>9</v>
      </c>
      <c r="C4" s="15" t="s">
        <v>1096</v>
      </c>
      <c r="D4" s="15" t="s">
        <v>1088</v>
      </c>
      <c r="E4" s="15" t="s">
        <v>9</v>
      </c>
      <c r="F4" s="15" t="s">
        <v>105</v>
      </c>
      <c r="G4" s="119" t="s">
        <v>370</v>
      </c>
      <c r="H4" s="135" t="s">
        <v>1638</v>
      </c>
      <c r="I4" s="443">
        <v>10000</v>
      </c>
      <c r="J4" s="111">
        <v>290000</v>
      </c>
    </row>
    <row r="5" spans="1:13" ht="32.25" hidden="1" customHeight="1" x14ac:dyDescent="0.4">
      <c r="A5" s="13">
        <v>3</v>
      </c>
      <c r="B5" s="5">
        <v>20</v>
      </c>
      <c r="C5" s="33" t="s">
        <v>1086</v>
      </c>
      <c r="D5" s="33" t="s">
        <v>1374</v>
      </c>
      <c r="E5" s="15" t="s">
        <v>490</v>
      </c>
      <c r="F5" s="13" t="s">
        <v>104</v>
      </c>
      <c r="G5" s="119" t="s">
        <v>1375</v>
      </c>
      <c r="H5" s="135" t="s">
        <v>1639</v>
      </c>
      <c r="I5" s="443">
        <v>6000</v>
      </c>
      <c r="J5" s="397">
        <v>200000</v>
      </c>
    </row>
    <row r="6" spans="1:13" ht="32.25" hidden="1" customHeight="1" x14ac:dyDescent="0.4">
      <c r="A6" s="13">
        <v>4</v>
      </c>
      <c r="B6" s="155">
        <v>45</v>
      </c>
      <c r="C6" s="14" t="s">
        <v>1659</v>
      </c>
      <c r="D6" s="14" t="s">
        <v>1100</v>
      </c>
      <c r="E6" s="15" t="s">
        <v>9</v>
      </c>
      <c r="F6" s="13" t="s">
        <v>106</v>
      </c>
      <c r="G6" s="142" t="s">
        <v>1103</v>
      </c>
      <c r="H6" s="116" t="s">
        <v>1640</v>
      </c>
      <c r="I6" s="443">
        <v>10000</v>
      </c>
      <c r="J6" s="299">
        <v>245000</v>
      </c>
    </row>
    <row r="7" spans="1:13" ht="32.25" hidden="1" customHeight="1" x14ac:dyDescent="0.4">
      <c r="A7" s="13">
        <v>5</v>
      </c>
      <c r="B7" s="155">
        <v>55</v>
      </c>
      <c r="C7" s="14" t="s">
        <v>1097</v>
      </c>
      <c r="D7" s="14"/>
      <c r="E7" s="15" t="s">
        <v>11</v>
      </c>
      <c r="F7" s="13" t="s">
        <v>105</v>
      </c>
      <c r="G7" s="16" t="s">
        <v>373</v>
      </c>
      <c r="H7" s="116" t="s">
        <v>1642</v>
      </c>
      <c r="I7" s="443">
        <v>6000</v>
      </c>
      <c r="J7" s="518">
        <v>200000</v>
      </c>
    </row>
    <row r="8" spans="1:13" ht="32.25" hidden="1" customHeight="1" x14ac:dyDescent="0.4">
      <c r="A8" s="13">
        <v>6</v>
      </c>
      <c r="B8" s="155">
        <v>56</v>
      </c>
      <c r="C8" s="14" t="s">
        <v>1097</v>
      </c>
      <c r="D8" s="14"/>
      <c r="E8" s="15" t="s">
        <v>11</v>
      </c>
      <c r="F8" s="13" t="s">
        <v>105</v>
      </c>
      <c r="G8" s="119" t="s">
        <v>109</v>
      </c>
      <c r="H8" s="116" t="s">
        <v>1642</v>
      </c>
      <c r="I8" s="443">
        <v>6000</v>
      </c>
      <c r="J8" s="518">
        <v>200000</v>
      </c>
    </row>
    <row r="9" spans="1:13" ht="32.25" hidden="1" customHeight="1" x14ac:dyDescent="0.4">
      <c r="A9" s="13">
        <v>7</v>
      </c>
      <c r="B9" s="5">
        <v>59</v>
      </c>
      <c r="C9" s="33" t="s">
        <v>695</v>
      </c>
      <c r="D9" s="13" t="s">
        <v>1447</v>
      </c>
      <c r="E9" s="15" t="s">
        <v>14</v>
      </c>
      <c r="F9" s="13" t="s">
        <v>105</v>
      </c>
      <c r="G9" s="119" t="s">
        <v>110</v>
      </c>
      <c r="H9" s="116" t="s">
        <v>1643</v>
      </c>
      <c r="I9" s="443">
        <v>7000</v>
      </c>
      <c r="J9" s="397">
        <v>210000</v>
      </c>
    </row>
    <row r="10" spans="1:13" ht="32.25" hidden="1" customHeight="1" x14ac:dyDescent="0.4">
      <c r="A10" s="13">
        <v>8</v>
      </c>
      <c r="B10" s="5">
        <v>64</v>
      </c>
      <c r="C10" s="14" t="s">
        <v>831</v>
      </c>
      <c r="D10" s="14" t="s">
        <v>1098</v>
      </c>
      <c r="E10" s="15" t="s">
        <v>11</v>
      </c>
      <c r="F10" s="13" t="s">
        <v>104</v>
      </c>
      <c r="G10" s="119" t="s">
        <v>374</v>
      </c>
      <c r="H10" s="116" t="s">
        <v>1644</v>
      </c>
      <c r="I10" s="443">
        <v>8000</v>
      </c>
      <c r="J10" s="356">
        <v>110000</v>
      </c>
    </row>
    <row r="11" spans="1:13" ht="32.25" hidden="1" customHeight="1" x14ac:dyDescent="0.4">
      <c r="A11" s="13">
        <v>9</v>
      </c>
      <c r="B11" s="155">
        <v>70</v>
      </c>
      <c r="C11" s="14" t="s">
        <v>631</v>
      </c>
      <c r="D11" s="14"/>
      <c r="E11" s="15" t="s">
        <v>9</v>
      </c>
      <c r="F11" s="13" t="s">
        <v>135</v>
      </c>
      <c r="G11" s="142" t="s">
        <v>1101</v>
      </c>
      <c r="H11" s="116" t="s">
        <v>1645</v>
      </c>
      <c r="I11" s="443">
        <v>14000</v>
      </c>
      <c r="J11" s="505">
        <v>250000</v>
      </c>
    </row>
    <row r="12" spans="1:13" ht="32.25" hidden="1" customHeight="1" x14ac:dyDescent="0.4">
      <c r="A12" s="13">
        <v>10</v>
      </c>
      <c r="B12" s="155">
        <v>74</v>
      </c>
      <c r="C12" s="120" t="s">
        <v>1097</v>
      </c>
      <c r="D12" s="120"/>
      <c r="E12" s="120" t="s">
        <v>11</v>
      </c>
      <c r="F12" s="120" t="s">
        <v>105</v>
      </c>
      <c r="G12" s="133" t="s">
        <v>212</v>
      </c>
      <c r="H12" s="116" t="s">
        <v>1642</v>
      </c>
      <c r="I12" s="443">
        <v>6000</v>
      </c>
      <c r="J12" s="518">
        <v>130000</v>
      </c>
    </row>
    <row r="13" spans="1:13" ht="32.25" customHeight="1" x14ac:dyDescent="0.4">
      <c r="A13" s="13">
        <v>11</v>
      </c>
      <c r="B13" s="5">
        <v>87</v>
      </c>
      <c r="C13" s="7" t="s">
        <v>1086</v>
      </c>
      <c r="D13" s="7" t="s">
        <v>1087</v>
      </c>
      <c r="E13" s="120" t="s">
        <v>11</v>
      </c>
      <c r="F13" s="120" t="s">
        <v>105</v>
      </c>
      <c r="G13" s="133" t="s">
        <v>1188</v>
      </c>
      <c r="H13" s="135" t="s">
        <v>1638</v>
      </c>
      <c r="I13" s="443">
        <v>6000</v>
      </c>
      <c r="J13" s="397">
        <v>150000</v>
      </c>
    </row>
    <row r="14" spans="1:13" ht="32.25" hidden="1" customHeight="1" x14ac:dyDescent="0.4">
      <c r="A14" s="13">
        <v>12</v>
      </c>
      <c r="B14" s="155">
        <v>88</v>
      </c>
      <c r="C14" s="7" t="s">
        <v>1086</v>
      </c>
      <c r="D14" s="7" t="s">
        <v>1610</v>
      </c>
      <c r="E14" s="15" t="s">
        <v>11</v>
      </c>
      <c r="F14" s="13" t="s">
        <v>104</v>
      </c>
      <c r="G14" s="119" t="s">
        <v>176</v>
      </c>
      <c r="H14" s="116" t="s">
        <v>1646</v>
      </c>
      <c r="I14" s="443">
        <v>6000</v>
      </c>
    </row>
    <row r="15" spans="1:13" ht="32.25" customHeight="1" x14ac:dyDescent="0.4">
      <c r="A15" s="13">
        <v>13</v>
      </c>
      <c r="B15" s="155">
        <v>89</v>
      </c>
      <c r="C15" s="15" t="s">
        <v>1480</v>
      </c>
      <c r="D15" s="7" t="s">
        <v>1087</v>
      </c>
      <c r="E15" s="15" t="s">
        <v>14</v>
      </c>
      <c r="F15" s="13" t="s">
        <v>104</v>
      </c>
      <c r="G15" s="119" t="s">
        <v>361</v>
      </c>
      <c r="H15" s="135" t="s">
        <v>1638</v>
      </c>
      <c r="I15" s="443">
        <v>7000</v>
      </c>
      <c r="J15" s="397">
        <v>140000</v>
      </c>
    </row>
    <row r="16" spans="1:13" ht="32.25" hidden="1" customHeight="1" x14ac:dyDescent="0.4">
      <c r="A16" s="13">
        <v>14</v>
      </c>
      <c r="B16" s="155">
        <v>98</v>
      </c>
      <c r="C16" s="14" t="s">
        <v>831</v>
      </c>
      <c r="D16" s="14" t="s">
        <v>1098</v>
      </c>
      <c r="E16" s="14" t="s">
        <v>16</v>
      </c>
      <c r="F16" s="14"/>
      <c r="G16" s="137" t="s">
        <v>289</v>
      </c>
      <c r="H16" s="14" t="s">
        <v>1647</v>
      </c>
      <c r="I16" s="443">
        <v>7000</v>
      </c>
      <c r="J16" s="356">
        <v>100000</v>
      </c>
    </row>
    <row r="17" spans="1:10" ht="32.25" hidden="1" customHeight="1" x14ac:dyDescent="0.4">
      <c r="A17" s="13">
        <v>15</v>
      </c>
      <c r="B17" s="455">
        <v>123</v>
      </c>
      <c r="C17" s="4" t="s">
        <v>1099</v>
      </c>
      <c r="D17" s="493" t="s">
        <v>1095</v>
      </c>
      <c r="E17" s="120" t="s">
        <v>14</v>
      </c>
      <c r="F17" s="120" t="s">
        <v>105</v>
      </c>
      <c r="G17" s="133" t="s">
        <v>301</v>
      </c>
      <c r="H17" s="120" t="s">
        <v>1428</v>
      </c>
      <c r="I17" s="443">
        <v>10000</v>
      </c>
      <c r="J17" s="356">
        <v>370000</v>
      </c>
    </row>
    <row r="18" spans="1:10" ht="32.25" hidden="1" customHeight="1" x14ac:dyDescent="0.4">
      <c r="A18" s="13">
        <v>16</v>
      </c>
      <c r="B18" s="455">
        <v>124</v>
      </c>
      <c r="C18" s="4" t="s">
        <v>1099</v>
      </c>
      <c r="D18" s="493" t="s">
        <v>1098</v>
      </c>
      <c r="E18" s="120" t="s">
        <v>14</v>
      </c>
      <c r="F18" s="120" t="s">
        <v>105</v>
      </c>
      <c r="G18" s="133" t="s">
        <v>303</v>
      </c>
      <c r="H18" s="120" t="s">
        <v>1428</v>
      </c>
      <c r="I18" s="443">
        <v>10000</v>
      </c>
      <c r="J18" s="356">
        <v>420000</v>
      </c>
    </row>
    <row r="19" spans="1:10" ht="32.25" hidden="1" customHeight="1" x14ac:dyDescent="0.4">
      <c r="A19" s="13">
        <v>17</v>
      </c>
      <c r="B19" s="455">
        <v>125</v>
      </c>
      <c r="C19" s="4" t="s">
        <v>1099</v>
      </c>
      <c r="D19" s="493" t="s">
        <v>1098</v>
      </c>
      <c r="E19" s="120" t="s">
        <v>14</v>
      </c>
      <c r="F19" s="120" t="s">
        <v>105</v>
      </c>
      <c r="G19" s="133" t="s">
        <v>305</v>
      </c>
      <c r="H19" s="120" t="s">
        <v>1428</v>
      </c>
      <c r="I19" s="443">
        <v>10000</v>
      </c>
      <c r="J19" s="356">
        <v>420000</v>
      </c>
    </row>
    <row r="20" spans="1:10" ht="32.25" hidden="1" customHeight="1" x14ac:dyDescent="0.4">
      <c r="A20" s="13">
        <v>18</v>
      </c>
      <c r="B20" s="455">
        <v>127</v>
      </c>
      <c r="C20" s="4" t="s">
        <v>1099</v>
      </c>
      <c r="D20" s="493" t="s">
        <v>1098</v>
      </c>
      <c r="E20" s="120" t="s">
        <v>14</v>
      </c>
      <c r="F20" s="120" t="s">
        <v>105</v>
      </c>
      <c r="G20" s="133" t="s">
        <v>309</v>
      </c>
      <c r="H20" s="120" t="s">
        <v>1428</v>
      </c>
      <c r="I20" s="443">
        <v>10000</v>
      </c>
      <c r="J20" s="356">
        <v>395000</v>
      </c>
    </row>
    <row r="21" spans="1:10" ht="32.25" hidden="1" customHeight="1" x14ac:dyDescent="0.4">
      <c r="A21" s="13">
        <v>19</v>
      </c>
      <c r="B21" s="155">
        <v>138</v>
      </c>
      <c r="C21" s="3" t="s">
        <v>631</v>
      </c>
      <c r="D21" s="3"/>
      <c r="E21" s="18" t="s">
        <v>11</v>
      </c>
      <c r="F21" s="17" t="s">
        <v>343</v>
      </c>
      <c r="G21" s="19" t="s">
        <v>411</v>
      </c>
      <c r="H21" s="32" t="s">
        <v>1648</v>
      </c>
      <c r="I21" s="443">
        <v>7000</v>
      </c>
      <c r="J21" s="520">
        <v>100000</v>
      </c>
    </row>
    <row r="22" spans="1:10" ht="32.25" hidden="1" customHeight="1" x14ac:dyDescent="0.4">
      <c r="A22" s="13">
        <v>20</v>
      </c>
      <c r="B22" s="155">
        <v>152</v>
      </c>
      <c r="C22" s="33" t="s">
        <v>831</v>
      </c>
      <c r="D22" s="33" t="s">
        <v>1098</v>
      </c>
      <c r="E22" s="4" t="s">
        <v>11</v>
      </c>
      <c r="F22" s="5" t="s">
        <v>105</v>
      </c>
      <c r="G22" s="36" t="s">
        <v>754</v>
      </c>
      <c r="H22" s="34" t="s">
        <v>1428</v>
      </c>
      <c r="I22" s="443">
        <v>8000</v>
      </c>
      <c r="J22" s="356">
        <v>85000</v>
      </c>
    </row>
    <row r="23" spans="1:10" ht="32.25" customHeight="1" x14ac:dyDescent="0.4">
      <c r="A23" s="13">
        <v>21</v>
      </c>
      <c r="B23" s="152">
        <v>159</v>
      </c>
      <c r="C23" s="33" t="s">
        <v>1086</v>
      </c>
      <c r="D23" s="33" t="s">
        <v>1087</v>
      </c>
      <c r="E23" s="5" t="s">
        <v>14</v>
      </c>
      <c r="F23" s="4" t="s">
        <v>105</v>
      </c>
      <c r="G23" s="124" t="s">
        <v>538</v>
      </c>
      <c r="H23" s="135" t="s">
        <v>1638</v>
      </c>
      <c r="I23" s="443">
        <v>8000</v>
      </c>
      <c r="J23" s="397">
        <v>270000</v>
      </c>
    </row>
    <row r="24" spans="1:10" ht="32.25" hidden="1" customHeight="1" x14ac:dyDescent="0.4">
      <c r="A24" s="13">
        <v>22</v>
      </c>
      <c r="B24" s="5">
        <v>201</v>
      </c>
      <c r="C24" s="33" t="s">
        <v>831</v>
      </c>
      <c r="D24" s="33" t="s">
        <v>1098</v>
      </c>
      <c r="E24" s="4" t="s">
        <v>11</v>
      </c>
      <c r="F24" s="5" t="s">
        <v>105</v>
      </c>
      <c r="G24" s="36" t="s">
        <v>725</v>
      </c>
      <c r="H24" s="34" t="s">
        <v>1428</v>
      </c>
      <c r="I24" s="443">
        <v>8000</v>
      </c>
      <c r="J24" s="356">
        <v>80000</v>
      </c>
    </row>
    <row r="25" spans="1:10" ht="32.25" hidden="1" customHeight="1" x14ac:dyDescent="0.4">
      <c r="A25" s="13">
        <v>23</v>
      </c>
      <c r="B25" s="155">
        <v>202</v>
      </c>
      <c r="C25" s="33" t="s">
        <v>1086</v>
      </c>
      <c r="D25" s="13" t="s">
        <v>1447</v>
      </c>
      <c r="E25" s="4" t="s">
        <v>11</v>
      </c>
      <c r="F25" s="5" t="s">
        <v>105</v>
      </c>
      <c r="G25" s="36" t="s">
        <v>851</v>
      </c>
      <c r="H25" s="135" t="s">
        <v>1649</v>
      </c>
      <c r="I25" s="443">
        <v>6000</v>
      </c>
    </row>
    <row r="26" spans="1:10" ht="32.25" hidden="1" customHeight="1" x14ac:dyDescent="0.4">
      <c r="A26" s="13">
        <v>24</v>
      </c>
      <c r="B26" s="5">
        <v>207</v>
      </c>
      <c r="C26" s="33" t="s">
        <v>831</v>
      </c>
      <c r="D26" s="33" t="s">
        <v>1098</v>
      </c>
      <c r="E26" s="4" t="s">
        <v>776</v>
      </c>
      <c r="F26" s="5" t="s">
        <v>773</v>
      </c>
      <c r="G26" s="36" t="s">
        <v>777</v>
      </c>
      <c r="H26" s="34" t="s">
        <v>1428</v>
      </c>
      <c r="I26" s="443">
        <v>8000</v>
      </c>
      <c r="J26" s="356">
        <v>85000</v>
      </c>
    </row>
    <row r="27" spans="1:10" ht="32.25" hidden="1" customHeight="1" x14ac:dyDescent="0.4">
      <c r="A27" s="13">
        <v>25</v>
      </c>
      <c r="B27" s="5">
        <v>208</v>
      </c>
      <c r="C27" s="4" t="s">
        <v>1096</v>
      </c>
      <c r="D27" s="4" t="s">
        <v>1091</v>
      </c>
      <c r="E27" s="4" t="s">
        <v>772</v>
      </c>
      <c r="F27" s="5" t="s">
        <v>105</v>
      </c>
      <c r="G27" s="36" t="s">
        <v>780</v>
      </c>
      <c r="H27" s="34" t="s">
        <v>1427</v>
      </c>
      <c r="I27" s="443">
        <v>10000</v>
      </c>
      <c r="J27" s="424">
        <v>450000</v>
      </c>
    </row>
    <row r="28" spans="1:10" ht="32.25" hidden="1" customHeight="1" x14ac:dyDescent="0.4">
      <c r="A28" s="13">
        <v>26</v>
      </c>
      <c r="B28" s="155">
        <v>213</v>
      </c>
      <c r="C28" s="4" t="s">
        <v>1096</v>
      </c>
      <c r="D28" s="4" t="s">
        <v>1245</v>
      </c>
      <c r="E28" s="4" t="s">
        <v>9</v>
      </c>
      <c r="F28" s="4" t="s">
        <v>836</v>
      </c>
      <c r="G28" s="36" t="s">
        <v>835</v>
      </c>
      <c r="H28" s="34" t="s">
        <v>1427</v>
      </c>
      <c r="I28" s="443">
        <v>10000</v>
      </c>
      <c r="J28" s="424">
        <v>630000</v>
      </c>
    </row>
    <row r="29" spans="1:10" ht="32.25" customHeight="1" x14ac:dyDescent="0.4">
      <c r="A29" s="13">
        <v>27</v>
      </c>
      <c r="B29" s="462">
        <v>215</v>
      </c>
      <c r="C29" s="33" t="s">
        <v>1086</v>
      </c>
      <c r="D29" s="33" t="s">
        <v>1087</v>
      </c>
      <c r="E29" s="4" t="s">
        <v>240</v>
      </c>
      <c r="F29" s="5" t="s">
        <v>235</v>
      </c>
      <c r="G29" s="36" t="s">
        <v>1187</v>
      </c>
      <c r="H29" s="34" t="s">
        <v>1427</v>
      </c>
      <c r="I29" s="443">
        <v>8000</v>
      </c>
      <c r="J29" s="397">
        <v>470000</v>
      </c>
    </row>
    <row r="30" spans="1:10" ht="32.25" customHeight="1" x14ac:dyDescent="0.4">
      <c r="A30" s="13">
        <v>28</v>
      </c>
      <c r="B30" s="462">
        <v>219</v>
      </c>
      <c r="C30" s="33" t="s">
        <v>1086</v>
      </c>
      <c r="D30" s="33" t="s">
        <v>1087</v>
      </c>
      <c r="E30" s="4" t="s">
        <v>240</v>
      </c>
      <c r="F30" s="5" t="s">
        <v>235</v>
      </c>
      <c r="G30" s="36" t="s">
        <v>1185</v>
      </c>
      <c r="H30" s="34" t="s">
        <v>1427</v>
      </c>
      <c r="I30" s="443">
        <v>5000</v>
      </c>
      <c r="J30" s="397">
        <v>110000</v>
      </c>
    </row>
    <row r="31" spans="1:10" s="141" customFormat="1" ht="32.25" hidden="1" customHeight="1" x14ac:dyDescent="0.4">
      <c r="A31" s="13">
        <v>29</v>
      </c>
      <c r="B31" s="155">
        <v>223</v>
      </c>
      <c r="C31" s="172" t="s">
        <v>1096</v>
      </c>
      <c r="D31" s="172" t="s">
        <v>1092</v>
      </c>
      <c r="E31" s="172" t="s">
        <v>9</v>
      </c>
      <c r="F31" s="155" t="s">
        <v>105</v>
      </c>
      <c r="G31" s="180" t="s">
        <v>829</v>
      </c>
      <c r="H31" s="177" t="s">
        <v>1427</v>
      </c>
      <c r="I31" s="443">
        <v>8000</v>
      </c>
      <c r="J31" s="521">
        <v>280000</v>
      </c>
    </row>
    <row r="32" spans="1:10" s="2" customFormat="1" ht="32.25" hidden="1" customHeight="1" x14ac:dyDescent="0.4">
      <c r="A32" s="13">
        <v>30</v>
      </c>
      <c r="B32" s="5">
        <v>224</v>
      </c>
      <c r="C32" s="33" t="s">
        <v>1096</v>
      </c>
      <c r="D32" s="33" t="s">
        <v>1093</v>
      </c>
      <c r="E32" s="4" t="s">
        <v>483</v>
      </c>
      <c r="F32" s="5" t="s">
        <v>270</v>
      </c>
      <c r="G32" s="36" t="s">
        <v>852</v>
      </c>
      <c r="H32" s="34" t="s">
        <v>1427</v>
      </c>
      <c r="I32" s="443">
        <v>10000</v>
      </c>
      <c r="J32" s="111">
        <v>280000</v>
      </c>
    </row>
    <row r="33" spans="1:10" ht="32.25" customHeight="1" x14ac:dyDescent="0.4">
      <c r="A33" s="13">
        <v>31</v>
      </c>
      <c r="B33" s="5">
        <v>226</v>
      </c>
      <c r="C33" s="33" t="s">
        <v>695</v>
      </c>
      <c r="D33" s="33" t="s">
        <v>1087</v>
      </c>
      <c r="E33" s="172" t="s">
        <v>240</v>
      </c>
      <c r="F33" s="155" t="s">
        <v>855</v>
      </c>
      <c r="G33" s="180" t="s">
        <v>860</v>
      </c>
      <c r="H33" s="177" t="s">
        <v>1427</v>
      </c>
      <c r="I33" s="443">
        <v>5000</v>
      </c>
      <c r="J33" s="397">
        <v>70000</v>
      </c>
    </row>
    <row r="34" spans="1:10" ht="32.25" hidden="1" customHeight="1" x14ac:dyDescent="0.4">
      <c r="A34" s="13">
        <v>32</v>
      </c>
      <c r="B34" s="5">
        <v>229</v>
      </c>
      <c r="C34" s="33" t="s">
        <v>1096</v>
      </c>
      <c r="D34" s="33" t="s">
        <v>1094</v>
      </c>
      <c r="E34" s="4" t="s">
        <v>633</v>
      </c>
      <c r="F34" s="5" t="s">
        <v>103</v>
      </c>
      <c r="G34" s="36" t="s">
        <v>877</v>
      </c>
      <c r="H34" s="34" t="s">
        <v>1427</v>
      </c>
      <c r="I34" s="443">
        <v>14000</v>
      </c>
      <c r="J34" s="111">
        <v>400000</v>
      </c>
    </row>
    <row r="35" spans="1:10" ht="32.25" hidden="1" customHeight="1" x14ac:dyDescent="0.4">
      <c r="A35" s="13">
        <v>33</v>
      </c>
      <c r="B35" s="155">
        <v>235</v>
      </c>
      <c r="C35" s="33" t="s">
        <v>1096</v>
      </c>
      <c r="D35" s="4" t="s">
        <v>1090</v>
      </c>
      <c r="E35" s="4" t="s">
        <v>483</v>
      </c>
      <c r="F35" s="155" t="s">
        <v>105</v>
      </c>
      <c r="G35" s="180" t="s">
        <v>898</v>
      </c>
      <c r="H35" s="177" t="s">
        <v>1427</v>
      </c>
      <c r="I35" s="443">
        <v>11000</v>
      </c>
      <c r="J35" s="111">
        <v>300000</v>
      </c>
    </row>
    <row r="36" spans="1:10" ht="32.25" hidden="1" customHeight="1" x14ac:dyDescent="0.4">
      <c r="A36" s="13">
        <v>34</v>
      </c>
      <c r="B36" s="155">
        <v>238</v>
      </c>
      <c r="C36" s="33" t="s">
        <v>1665</v>
      </c>
      <c r="D36" s="33" t="s">
        <v>1666</v>
      </c>
      <c r="E36" s="4" t="s">
        <v>846</v>
      </c>
      <c r="F36" s="5" t="s">
        <v>657</v>
      </c>
      <c r="G36" s="36" t="s">
        <v>1106</v>
      </c>
      <c r="H36" s="34" t="s">
        <v>1650</v>
      </c>
      <c r="I36" s="443">
        <v>16500</v>
      </c>
      <c r="J36" s="522">
        <v>630000</v>
      </c>
    </row>
    <row r="37" spans="1:10" s="2" customFormat="1" ht="32.25" customHeight="1" x14ac:dyDescent="0.4">
      <c r="A37" s="13">
        <v>35</v>
      </c>
      <c r="B37" s="462">
        <v>242</v>
      </c>
      <c r="C37" s="33" t="s">
        <v>1086</v>
      </c>
      <c r="D37" s="33" t="s">
        <v>864</v>
      </c>
      <c r="E37" s="4" t="s">
        <v>483</v>
      </c>
      <c r="F37" s="5" t="s">
        <v>270</v>
      </c>
      <c r="G37" s="36" t="s">
        <v>942</v>
      </c>
      <c r="H37" s="6" t="s">
        <v>1427</v>
      </c>
      <c r="I37" s="443">
        <v>11000</v>
      </c>
      <c r="J37" s="397">
        <v>470000</v>
      </c>
    </row>
    <row r="38" spans="1:10" s="2" customFormat="1" ht="32.25" hidden="1" customHeight="1" x14ac:dyDescent="0.4">
      <c r="A38" s="13">
        <v>36</v>
      </c>
      <c r="B38" s="455">
        <v>245</v>
      </c>
      <c r="C38" s="4" t="s">
        <v>1099</v>
      </c>
      <c r="D38" s="4" t="s">
        <v>1095</v>
      </c>
      <c r="E38" s="4" t="s">
        <v>991</v>
      </c>
      <c r="F38" s="5" t="s">
        <v>992</v>
      </c>
      <c r="G38" s="36" t="s">
        <v>993</v>
      </c>
      <c r="H38" s="34" t="s">
        <v>1651</v>
      </c>
      <c r="I38" s="443">
        <v>11000</v>
      </c>
      <c r="J38" s="356">
        <v>440000</v>
      </c>
    </row>
    <row r="39" spans="1:10" s="2" customFormat="1" ht="32.25" customHeight="1" x14ac:dyDescent="0.4">
      <c r="A39" s="13">
        <v>37</v>
      </c>
      <c r="B39" s="5">
        <v>248</v>
      </c>
      <c r="C39" s="33" t="s">
        <v>939</v>
      </c>
      <c r="D39" s="4" t="s">
        <v>1191</v>
      </c>
      <c r="E39" s="4" t="s">
        <v>240</v>
      </c>
      <c r="F39" s="5" t="s">
        <v>105</v>
      </c>
      <c r="G39" s="36" t="s">
        <v>986</v>
      </c>
      <c r="H39" s="6" t="s">
        <v>1427</v>
      </c>
      <c r="I39" s="443">
        <v>10000</v>
      </c>
      <c r="J39" s="368">
        <v>510000</v>
      </c>
    </row>
    <row r="40" spans="1:10" ht="32.25" hidden="1" customHeight="1" x14ac:dyDescent="0.4">
      <c r="A40" s="13">
        <v>38</v>
      </c>
      <c r="B40" s="5">
        <v>268</v>
      </c>
      <c r="C40" s="4" t="s">
        <v>1376</v>
      </c>
      <c r="D40" s="5"/>
      <c r="E40" s="4" t="s">
        <v>490</v>
      </c>
      <c r="F40" s="5" t="s">
        <v>105</v>
      </c>
      <c r="G40" s="36" t="s">
        <v>1212</v>
      </c>
      <c r="H40" s="34" t="s">
        <v>1652</v>
      </c>
      <c r="I40" s="443">
        <v>8000</v>
      </c>
      <c r="J40" s="511">
        <v>50000</v>
      </c>
    </row>
    <row r="41" spans="1:10" ht="32.25" customHeight="1" x14ac:dyDescent="0.4">
      <c r="A41" s="13">
        <v>39</v>
      </c>
      <c r="B41" s="5">
        <v>271</v>
      </c>
      <c r="C41" s="33" t="s">
        <v>939</v>
      </c>
      <c r="D41" s="33" t="s">
        <v>1253</v>
      </c>
      <c r="E41" s="4" t="s">
        <v>9</v>
      </c>
      <c r="F41" s="5" t="s">
        <v>235</v>
      </c>
      <c r="G41" s="180" t="s">
        <v>1254</v>
      </c>
      <c r="H41" s="6" t="s">
        <v>1427</v>
      </c>
      <c r="I41" s="443">
        <v>5000</v>
      </c>
      <c r="J41" s="397">
        <v>80000</v>
      </c>
    </row>
    <row r="42" spans="1:10" ht="32.25" hidden="1" customHeight="1" x14ac:dyDescent="0.4">
      <c r="A42" s="13">
        <v>40</v>
      </c>
      <c r="B42" s="5">
        <v>275</v>
      </c>
      <c r="C42" s="33" t="s">
        <v>1252</v>
      </c>
      <c r="D42" s="33"/>
      <c r="E42" s="4" t="s">
        <v>490</v>
      </c>
      <c r="F42" s="5" t="s">
        <v>105</v>
      </c>
      <c r="G42" s="492" t="s">
        <v>1256</v>
      </c>
      <c r="H42" s="7" t="s">
        <v>1641</v>
      </c>
      <c r="I42" s="443">
        <v>6000</v>
      </c>
      <c r="J42" s="518">
        <v>110000</v>
      </c>
    </row>
    <row r="43" spans="1:10" ht="32.25" hidden="1" customHeight="1" x14ac:dyDescent="0.4">
      <c r="A43" s="13">
        <v>41</v>
      </c>
      <c r="B43" s="5">
        <v>277</v>
      </c>
      <c r="C43" s="33" t="s">
        <v>1086</v>
      </c>
      <c r="D43" s="33" t="s">
        <v>1253</v>
      </c>
      <c r="E43" s="4" t="s">
        <v>11</v>
      </c>
      <c r="F43" s="5" t="s">
        <v>105</v>
      </c>
      <c r="G43" s="36" t="s">
        <v>1228</v>
      </c>
      <c r="H43" s="34" t="s">
        <v>1653</v>
      </c>
      <c r="I43" s="443">
        <v>6000</v>
      </c>
      <c r="J43" s="397">
        <v>100000</v>
      </c>
    </row>
    <row r="44" spans="1:10" ht="32.25" hidden="1" customHeight="1" x14ac:dyDescent="0.4">
      <c r="A44" s="13">
        <v>42</v>
      </c>
      <c r="B44" s="5">
        <v>297</v>
      </c>
      <c r="C44" s="33" t="s">
        <v>1086</v>
      </c>
      <c r="D44" s="33" t="s">
        <v>1253</v>
      </c>
      <c r="E44" s="4" t="s">
        <v>11</v>
      </c>
      <c r="F44" s="33" t="s">
        <v>1411</v>
      </c>
      <c r="G44" s="36" t="s">
        <v>1412</v>
      </c>
      <c r="H44" s="34" t="s">
        <v>1654</v>
      </c>
      <c r="I44" s="443">
        <v>6000</v>
      </c>
      <c r="J44" s="397"/>
    </row>
    <row r="45" spans="1:10" ht="32.25" hidden="1" customHeight="1" x14ac:dyDescent="0.4">
      <c r="A45" s="13">
        <v>43</v>
      </c>
      <c r="B45" s="5">
        <v>305</v>
      </c>
      <c r="C45" s="33" t="s">
        <v>1086</v>
      </c>
      <c r="D45" s="13" t="s">
        <v>1447</v>
      </c>
      <c r="E45" s="172" t="s">
        <v>240</v>
      </c>
      <c r="F45" s="5" t="s">
        <v>1301</v>
      </c>
      <c r="G45" s="36" t="s">
        <v>1448</v>
      </c>
      <c r="H45" s="34" t="s">
        <v>1655</v>
      </c>
      <c r="I45" s="443">
        <v>7000</v>
      </c>
      <c r="J45" s="397">
        <v>280000</v>
      </c>
    </row>
    <row r="46" spans="1:10" ht="32.25" hidden="1" customHeight="1" x14ac:dyDescent="0.4">
      <c r="A46" s="13">
        <v>44</v>
      </c>
      <c r="B46" s="5">
        <v>306</v>
      </c>
      <c r="C46" s="33" t="s">
        <v>1086</v>
      </c>
      <c r="D46" s="13" t="s">
        <v>1447</v>
      </c>
      <c r="E46" s="172" t="s">
        <v>240</v>
      </c>
      <c r="F46" s="5" t="s">
        <v>103</v>
      </c>
      <c r="G46" s="36" t="s">
        <v>1451</v>
      </c>
      <c r="H46" s="34" t="s">
        <v>1656</v>
      </c>
      <c r="I46" s="443">
        <v>7000</v>
      </c>
      <c r="J46" s="546"/>
    </row>
    <row r="47" spans="1:10" ht="32.25" hidden="1" customHeight="1" x14ac:dyDescent="0.4">
      <c r="A47" s="13">
        <v>45</v>
      </c>
      <c r="B47" s="5">
        <v>310</v>
      </c>
      <c r="C47" s="33" t="s">
        <v>1086</v>
      </c>
      <c r="D47" s="13" t="s">
        <v>1447</v>
      </c>
      <c r="E47" s="172" t="s">
        <v>656</v>
      </c>
      <c r="F47" s="5" t="s">
        <v>1169</v>
      </c>
      <c r="G47" s="36" t="s">
        <v>1549</v>
      </c>
      <c r="H47" s="34" t="s">
        <v>1654</v>
      </c>
      <c r="I47" s="443">
        <v>5000</v>
      </c>
      <c r="J47" s="546"/>
    </row>
    <row r="48" spans="1:10" ht="32.25" hidden="1" customHeight="1" x14ac:dyDescent="0.4">
      <c r="A48" s="13">
        <v>46</v>
      </c>
      <c r="B48" s="5">
        <v>313</v>
      </c>
      <c r="C48" s="33" t="s">
        <v>1086</v>
      </c>
      <c r="D48" s="13" t="s">
        <v>1447</v>
      </c>
      <c r="E48" s="172" t="s">
        <v>656</v>
      </c>
      <c r="F48" s="5" t="s">
        <v>1536</v>
      </c>
      <c r="G48" s="36" t="s">
        <v>1551</v>
      </c>
      <c r="H48" s="34" t="s">
        <v>1657</v>
      </c>
      <c r="I48" s="443">
        <v>7000</v>
      </c>
      <c r="J48" s="546"/>
    </row>
    <row r="49" spans="1:16" ht="32.25" hidden="1" customHeight="1" x14ac:dyDescent="0.4">
      <c r="A49" s="13">
        <v>47</v>
      </c>
      <c r="B49" s="5">
        <v>314</v>
      </c>
      <c r="C49" s="33" t="s">
        <v>1252</v>
      </c>
      <c r="D49" s="519"/>
      <c r="E49" s="172" t="s">
        <v>656</v>
      </c>
      <c r="F49" s="5" t="s">
        <v>1169</v>
      </c>
      <c r="G49" s="36" t="s">
        <v>1546</v>
      </c>
      <c r="H49" s="34" t="s">
        <v>1641</v>
      </c>
      <c r="I49" s="443">
        <v>6000</v>
      </c>
      <c r="J49" s="546"/>
    </row>
    <row r="50" spans="1:16" ht="32.25" hidden="1" customHeight="1" x14ac:dyDescent="0.4">
      <c r="A50" s="13">
        <v>48</v>
      </c>
      <c r="B50" s="5">
        <v>321</v>
      </c>
      <c r="C50" s="33" t="s">
        <v>1086</v>
      </c>
      <c r="D50" s="13" t="s">
        <v>1447</v>
      </c>
      <c r="E50" s="172" t="s">
        <v>1611</v>
      </c>
      <c r="F50" s="5" t="s">
        <v>1612</v>
      </c>
      <c r="G50" s="36" t="s">
        <v>1613</v>
      </c>
      <c r="H50" s="34" t="s">
        <v>1658</v>
      </c>
      <c r="I50" s="443">
        <v>7000</v>
      </c>
      <c r="J50" s="546"/>
    </row>
    <row r="51" spans="1:16" ht="30" hidden="1" customHeight="1" x14ac:dyDescent="0.4">
      <c r="A51" s="442"/>
      <c r="B51" s="319"/>
      <c r="C51" s="4"/>
      <c r="D51" s="4"/>
      <c r="E51" s="5"/>
      <c r="F51" s="4"/>
      <c r="G51" s="124"/>
      <c r="H51" s="4"/>
      <c r="I51" s="151">
        <f>SUM(I3:I50)</f>
        <v>389500</v>
      </c>
    </row>
    <row r="52" spans="1:16" s="149" customFormat="1" ht="32.25" hidden="1" customHeight="1" x14ac:dyDescent="0.4">
      <c r="B52" s="297"/>
      <c r="C52" s="145"/>
      <c r="D52" s="145"/>
      <c r="E52" s="146"/>
      <c r="F52" s="144"/>
      <c r="G52" s="147"/>
      <c r="H52" s="148"/>
      <c r="I52" s="117"/>
      <c r="J52" s="117"/>
      <c r="K52" s="117"/>
      <c r="L52" s="117"/>
      <c r="M52" s="117"/>
      <c r="N52" s="117"/>
      <c r="O52" s="117"/>
      <c r="P52" s="117"/>
    </row>
    <row r="53" spans="1:16" s="149" customFormat="1" ht="32.25" customHeight="1" x14ac:dyDescent="0.4">
      <c r="B53" s="297"/>
      <c r="C53" s="145"/>
      <c r="D53" s="145"/>
      <c r="E53" s="146"/>
      <c r="F53" s="144"/>
      <c r="G53" s="147"/>
      <c r="H53" s="148"/>
      <c r="I53" s="117"/>
      <c r="J53" s="117"/>
      <c r="K53" s="117"/>
      <c r="L53" s="117"/>
      <c r="M53" s="117"/>
      <c r="N53" s="117"/>
      <c r="O53" s="117"/>
      <c r="P53" s="117"/>
    </row>
    <row r="54" spans="1:16" s="149" customFormat="1" ht="32.25" customHeight="1" x14ac:dyDescent="0.4">
      <c r="B54" s="297"/>
      <c r="C54" s="145"/>
      <c r="D54" s="145"/>
      <c r="E54" s="146"/>
      <c r="F54" s="144"/>
      <c r="G54" s="147"/>
      <c r="H54" s="148"/>
      <c r="I54" s="117"/>
      <c r="J54" s="117"/>
      <c r="K54" s="117"/>
      <c r="L54" s="117"/>
      <c r="M54" s="117"/>
      <c r="N54" s="117"/>
      <c r="O54" s="117"/>
      <c r="P54" s="117"/>
    </row>
    <row r="55" spans="1:16" s="149" customFormat="1" ht="32.25" customHeight="1" x14ac:dyDescent="0.4">
      <c r="B55" s="297"/>
      <c r="C55" s="145"/>
      <c r="D55" s="145"/>
      <c r="E55" s="146"/>
      <c r="F55" s="144"/>
      <c r="G55" s="147"/>
      <c r="H55" s="148"/>
      <c r="I55" s="117"/>
      <c r="J55" s="117"/>
      <c r="K55" s="117"/>
      <c r="L55" s="117"/>
      <c r="M55" s="117"/>
      <c r="N55" s="117"/>
      <c r="O55" s="117"/>
      <c r="P55" s="117"/>
    </row>
    <row r="56" spans="1:16" s="149" customFormat="1" ht="32.25" customHeight="1" x14ac:dyDescent="0.4">
      <c r="B56" s="297"/>
      <c r="C56" s="145"/>
      <c r="D56" s="145"/>
      <c r="E56" s="146"/>
      <c r="F56" s="144"/>
      <c r="G56" s="147"/>
      <c r="H56" s="148"/>
      <c r="I56" s="117"/>
      <c r="J56" s="117"/>
      <c r="K56" s="117"/>
      <c r="L56" s="117"/>
      <c r="M56" s="117"/>
      <c r="N56" s="117"/>
      <c r="O56" s="117"/>
      <c r="P56" s="117"/>
    </row>
    <row r="57" spans="1:16" s="149" customFormat="1" ht="32.25" customHeight="1" x14ac:dyDescent="0.4">
      <c r="B57" s="297"/>
      <c r="C57" s="145"/>
      <c r="D57" s="145"/>
      <c r="E57" s="146"/>
      <c r="F57" s="144"/>
      <c r="G57" s="147"/>
      <c r="H57" s="148"/>
      <c r="I57" s="117"/>
      <c r="J57" s="117"/>
      <c r="K57" s="117"/>
      <c r="L57" s="117"/>
      <c r="M57" s="117"/>
      <c r="N57" s="117"/>
      <c r="O57" s="117"/>
      <c r="P57" s="117"/>
    </row>
    <row r="58" spans="1:16" s="149" customFormat="1" ht="32.25" customHeight="1" x14ac:dyDescent="0.4">
      <c r="B58" s="297"/>
      <c r="C58" s="145"/>
      <c r="D58" s="145"/>
      <c r="E58" s="146"/>
      <c r="F58" s="144"/>
      <c r="G58" s="147"/>
      <c r="H58" s="148"/>
      <c r="I58" s="117"/>
      <c r="J58" s="117"/>
      <c r="K58" s="117"/>
      <c r="L58" s="117"/>
      <c r="M58" s="117"/>
      <c r="N58" s="117"/>
      <c r="O58" s="117"/>
      <c r="P58" s="117"/>
    </row>
    <row r="59" spans="1:16" s="149" customFormat="1" ht="32.25" customHeight="1" x14ac:dyDescent="0.4">
      <c r="B59" s="297"/>
      <c r="C59" s="145"/>
      <c r="D59" s="145"/>
      <c r="E59" s="146"/>
      <c r="F59" s="144"/>
      <c r="G59" s="147"/>
      <c r="H59" s="148"/>
      <c r="I59" s="117"/>
      <c r="J59" s="117"/>
      <c r="K59" s="117"/>
      <c r="L59" s="117"/>
      <c r="M59" s="117"/>
      <c r="N59" s="117"/>
      <c r="O59" s="117"/>
      <c r="P59" s="117"/>
    </row>
    <row r="60" spans="1:16" s="149" customFormat="1" ht="32.25" customHeight="1" x14ac:dyDescent="0.4">
      <c r="B60" s="297"/>
      <c r="C60" s="145"/>
      <c r="D60" s="145"/>
      <c r="E60" s="146"/>
      <c r="F60" s="144"/>
      <c r="G60" s="147"/>
      <c r="H60" s="148"/>
      <c r="I60" s="117"/>
      <c r="J60" s="117"/>
      <c r="K60" s="117"/>
      <c r="L60" s="117"/>
      <c r="M60" s="117"/>
      <c r="N60" s="117"/>
      <c r="O60" s="117"/>
      <c r="P60" s="117"/>
    </row>
    <row r="61" spans="1:16" s="149" customFormat="1" ht="32.25" customHeight="1" x14ac:dyDescent="0.4">
      <c r="B61" s="297"/>
      <c r="C61" s="145"/>
      <c r="D61" s="145"/>
      <c r="E61" s="146"/>
      <c r="F61" s="144"/>
      <c r="G61" s="147"/>
      <c r="H61" s="148"/>
      <c r="I61" s="117"/>
      <c r="J61" s="117"/>
      <c r="K61" s="117"/>
      <c r="L61" s="117"/>
      <c r="M61" s="117"/>
      <c r="N61" s="117"/>
      <c r="O61" s="117"/>
      <c r="P61" s="117"/>
    </row>
    <row r="62" spans="1:16" s="149" customFormat="1" ht="32.25" customHeight="1" x14ac:dyDescent="0.4">
      <c r="B62" s="297"/>
      <c r="C62" s="145"/>
      <c r="D62" s="145"/>
      <c r="E62" s="146"/>
      <c r="F62" s="144"/>
      <c r="G62" s="147"/>
      <c r="H62" s="148"/>
      <c r="I62" s="117"/>
      <c r="J62" s="117"/>
      <c r="K62" s="117"/>
      <c r="L62" s="117"/>
      <c r="M62" s="117"/>
      <c r="N62" s="117"/>
      <c r="O62" s="117"/>
      <c r="P62" s="117"/>
    </row>
    <row r="63" spans="1:16" s="149" customFormat="1" ht="32.25" customHeight="1" x14ac:dyDescent="0.4">
      <c r="B63" s="297"/>
      <c r="C63" s="145"/>
      <c r="D63" s="145"/>
      <c r="E63" s="146"/>
      <c r="F63" s="144"/>
      <c r="G63" s="147"/>
      <c r="H63" s="148"/>
      <c r="I63" s="117"/>
      <c r="J63" s="117"/>
      <c r="K63" s="117"/>
      <c r="L63" s="117"/>
      <c r="M63" s="117"/>
      <c r="N63" s="117"/>
      <c r="O63" s="117"/>
      <c r="P63" s="117"/>
    </row>
    <row r="64" spans="1:16" s="149" customFormat="1" ht="32.25" customHeight="1" x14ac:dyDescent="0.4">
      <c r="B64" s="297"/>
      <c r="C64" s="145"/>
      <c r="D64" s="145"/>
      <c r="E64" s="146"/>
      <c r="F64" s="144"/>
      <c r="G64" s="147"/>
      <c r="H64" s="148"/>
      <c r="I64" s="117"/>
      <c r="J64" s="117"/>
      <c r="K64" s="117"/>
      <c r="L64" s="117"/>
      <c r="M64" s="117"/>
      <c r="N64" s="117"/>
      <c r="O64" s="117"/>
      <c r="P64" s="117"/>
    </row>
    <row r="65" spans="2:16" s="149" customFormat="1" ht="32.25" customHeight="1" x14ac:dyDescent="0.4">
      <c r="B65" s="297"/>
      <c r="C65" s="145"/>
      <c r="D65" s="145"/>
      <c r="E65" s="146"/>
      <c r="F65" s="144"/>
      <c r="G65" s="147"/>
      <c r="H65" s="148"/>
      <c r="I65" s="117"/>
      <c r="J65" s="117"/>
      <c r="K65" s="117"/>
      <c r="L65" s="117"/>
      <c r="M65" s="117"/>
      <c r="N65" s="117"/>
      <c r="O65" s="117"/>
      <c r="P65" s="117"/>
    </row>
    <row r="66" spans="2:16" s="149" customFormat="1" ht="32.25" customHeight="1" x14ac:dyDescent="0.4">
      <c r="B66" s="297"/>
      <c r="C66" s="145"/>
      <c r="D66" s="145"/>
      <c r="E66" s="146"/>
      <c r="F66" s="144"/>
      <c r="G66" s="147"/>
      <c r="H66" s="148"/>
      <c r="I66" s="117"/>
      <c r="J66" s="117"/>
      <c r="K66" s="117"/>
      <c r="L66" s="117"/>
      <c r="M66" s="117"/>
      <c r="N66" s="117"/>
      <c r="O66" s="117"/>
      <c r="P66" s="117"/>
    </row>
    <row r="67" spans="2:16" s="149" customFormat="1" ht="32.25" customHeight="1" x14ac:dyDescent="0.4">
      <c r="B67" s="297"/>
      <c r="C67" s="145"/>
      <c r="D67" s="145"/>
      <c r="E67" s="146"/>
      <c r="F67" s="144"/>
      <c r="G67" s="147"/>
      <c r="H67" s="148"/>
      <c r="I67" s="117"/>
      <c r="J67" s="117"/>
      <c r="K67" s="117"/>
      <c r="L67" s="117"/>
      <c r="M67" s="117"/>
      <c r="N67" s="117"/>
      <c r="O67" s="117"/>
      <c r="P67" s="117"/>
    </row>
    <row r="68" spans="2:16" s="149" customFormat="1" ht="32.25" customHeight="1" x14ac:dyDescent="0.4">
      <c r="B68" s="297"/>
      <c r="C68" s="145"/>
      <c r="D68" s="145"/>
      <c r="E68" s="146"/>
      <c r="F68" s="144"/>
      <c r="G68" s="147"/>
      <c r="H68" s="148"/>
      <c r="I68" s="117"/>
      <c r="J68" s="117"/>
      <c r="K68" s="117"/>
      <c r="L68" s="117"/>
      <c r="M68" s="117"/>
      <c r="N68" s="117"/>
      <c r="O68" s="117"/>
      <c r="P68" s="117"/>
    </row>
    <row r="69" spans="2:16" s="149" customFormat="1" ht="32.25" customHeight="1" x14ac:dyDescent="0.4">
      <c r="B69" s="297"/>
      <c r="C69" s="145"/>
      <c r="D69" s="145"/>
      <c r="E69" s="146"/>
      <c r="F69" s="144"/>
      <c r="G69" s="147"/>
      <c r="H69" s="148"/>
      <c r="I69" s="117"/>
      <c r="J69" s="117"/>
      <c r="K69" s="117"/>
      <c r="L69" s="117"/>
      <c r="M69" s="117"/>
      <c r="N69" s="117"/>
      <c r="O69" s="117"/>
      <c r="P69" s="117"/>
    </row>
    <row r="70" spans="2:16" s="149" customFormat="1" ht="32.25" customHeight="1" x14ac:dyDescent="0.4">
      <c r="B70" s="297"/>
      <c r="C70" s="145"/>
      <c r="D70" s="145"/>
      <c r="E70" s="146"/>
      <c r="F70" s="144"/>
      <c r="G70" s="147"/>
      <c r="H70" s="148"/>
      <c r="I70" s="117"/>
      <c r="J70" s="117"/>
      <c r="K70" s="117"/>
      <c r="L70" s="117"/>
      <c r="M70" s="117"/>
      <c r="N70" s="117"/>
      <c r="O70" s="117"/>
      <c r="P70" s="117"/>
    </row>
    <row r="71" spans="2:16" s="149" customFormat="1" ht="32.25" customHeight="1" x14ac:dyDescent="0.4">
      <c r="B71" s="297"/>
      <c r="C71" s="145"/>
      <c r="D71" s="145"/>
      <c r="E71" s="146"/>
      <c r="F71" s="144"/>
      <c r="G71" s="147"/>
      <c r="H71" s="148"/>
      <c r="I71" s="117"/>
      <c r="J71" s="117"/>
      <c r="K71" s="117"/>
      <c r="L71" s="117"/>
      <c r="M71" s="117"/>
      <c r="N71" s="117"/>
      <c r="O71" s="117"/>
      <c r="P71" s="117"/>
    </row>
    <row r="72" spans="2:16" s="149" customFormat="1" ht="32.25" customHeight="1" x14ac:dyDescent="0.4">
      <c r="B72" s="297"/>
      <c r="C72" s="145"/>
      <c r="D72" s="145"/>
      <c r="E72" s="146"/>
      <c r="F72" s="144"/>
      <c r="G72" s="147"/>
      <c r="H72" s="148"/>
      <c r="I72" s="117"/>
      <c r="J72" s="117"/>
      <c r="K72" s="117"/>
      <c r="L72" s="117"/>
      <c r="M72" s="117"/>
      <c r="N72" s="117"/>
      <c r="O72" s="117"/>
      <c r="P72" s="117"/>
    </row>
    <row r="73" spans="2:16" s="149" customFormat="1" ht="32.25" customHeight="1" x14ac:dyDescent="0.4">
      <c r="B73" s="297"/>
      <c r="C73" s="145"/>
      <c r="D73" s="145"/>
      <c r="E73" s="146"/>
      <c r="F73" s="144"/>
      <c r="G73" s="147"/>
      <c r="H73" s="148"/>
      <c r="I73" s="117"/>
      <c r="J73" s="117"/>
      <c r="K73" s="117"/>
      <c r="L73" s="117"/>
      <c r="M73" s="117"/>
      <c r="N73" s="117"/>
      <c r="O73" s="117"/>
      <c r="P73" s="117"/>
    </row>
    <row r="74" spans="2:16" s="149" customFormat="1" ht="32.25" customHeight="1" x14ac:dyDescent="0.4">
      <c r="B74" s="297"/>
      <c r="C74" s="145"/>
      <c r="D74" s="145"/>
      <c r="E74" s="146"/>
      <c r="F74" s="144"/>
      <c r="G74" s="147"/>
      <c r="H74" s="148"/>
      <c r="I74" s="117"/>
      <c r="J74" s="117"/>
      <c r="K74" s="117"/>
      <c r="L74" s="117"/>
      <c r="M74" s="117"/>
      <c r="N74" s="117"/>
      <c r="O74" s="117"/>
      <c r="P74" s="117"/>
    </row>
    <row r="75" spans="2:16" s="149" customFormat="1" ht="32.25" customHeight="1" x14ac:dyDescent="0.4">
      <c r="B75" s="297"/>
      <c r="C75" s="145"/>
      <c r="D75" s="145"/>
      <c r="E75" s="146"/>
      <c r="F75" s="144"/>
      <c r="G75" s="147"/>
      <c r="H75" s="148"/>
      <c r="I75" s="117"/>
      <c r="J75" s="117"/>
      <c r="K75" s="117"/>
      <c r="L75" s="117"/>
      <c r="M75" s="117"/>
      <c r="N75" s="117"/>
      <c r="O75" s="117"/>
      <c r="P75" s="117"/>
    </row>
    <row r="76" spans="2:16" s="149" customFormat="1" ht="32.25" customHeight="1" x14ac:dyDescent="0.4">
      <c r="B76" s="297"/>
      <c r="C76" s="145"/>
      <c r="D76" s="145"/>
      <c r="E76" s="146"/>
      <c r="F76" s="144"/>
      <c r="G76" s="147"/>
      <c r="H76" s="148"/>
      <c r="I76" s="117"/>
      <c r="J76" s="117"/>
      <c r="K76" s="117"/>
      <c r="L76" s="117"/>
      <c r="M76" s="117"/>
      <c r="N76" s="117"/>
      <c r="O76" s="117"/>
      <c r="P76" s="117"/>
    </row>
    <row r="77" spans="2:16" s="149" customFormat="1" ht="32.25" customHeight="1" x14ac:dyDescent="0.4">
      <c r="B77" s="297"/>
      <c r="C77" s="145"/>
      <c r="D77" s="145"/>
      <c r="E77" s="146"/>
      <c r="F77" s="144"/>
      <c r="G77" s="147"/>
      <c r="H77" s="148"/>
      <c r="I77" s="117"/>
      <c r="J77" s="117"/>
      <c r="K77" s="117"/>
      <c r="L77" s="117"/>
      <c r="M77" s="117"/>
      <c r="N77" s="117"/>
      <c r="O77" s="117"/>
      <c r="P77" s="117"/>
    </row>
    <row r="78" spans="2:16" s="149" customFormat="1" ht="32.25" customHeight="1" x14ac:dyDescent="0.4">
      <c r="B78" s="297"/>
      <c r="C78" s="145"/>
      <c r="D78" s="145"/>
      <c r="E78" s="146"/>
      <c r="F78" s="144"/>
      <c r="G78" s="147"/>
      <c r="H78" s="148"/>
      <c r="I78" s="117"/>
      <c r="J78" s="117"/>
      <c r="K78" s="117"/>
      <c r="L78" s="117"/>
      <c r="M78" s="117"/>
      <c r="N78" s="117"/>
      <c r="O78" s="117"/>
      <c r="P78" s="117"/>
    </row>
    <row r="79" spans="2:16" s="149" customFormat="1" ht="32.25" customHeight="1" x14ac:dyDescent="0.4">
      <c r="B79" s="297"/>
      <c r="C79" s="145"/>
      <c r="D79" s="145"/>
      <c r="E79" s="146"/>
      <c r="F79" s="144"/>
      <c r="G79" s="147"/>
      <c r="H79" s="148"/>
      <c r="I79" s="117"/>
      <c r="J79" s="117"/>
      <c r="K79" s="117"/>
      <c r="L79" s="117"/>
      <c r="M79" s="117"/>
      <c r="N79" s="117"/>
      <c r="O79" s="117"/>
      <c r="P79" s="117"/>
    </row>
    <row r="80" spans="2:16" s="149" customFormat="1" ht="32.25" customHeight="1" x14ac:dyDescent="0.4">
      <c r="B80" s="297"/>
      <c r="C80" s="145"/>
      <c r="D80" s="145"/>
      <c r="E80" s="146"/>
      <c r="F80" s="144"/>
      <c r="G80" s="147"/>
      <c r="H80" s="148"/>
      <c r="I80" s="117"/>
      <c r="J80" s="117"/>
      <c r="K80" s="117"/>
      <c r="L80" s="117"/>
      <c r="M80" s="117"/>
      <c r="N80" s="117"/>
      <c r="O80" s="117"/>
      <c r="P80" s="117"/>
    </row>
    <row r="81" spans="2:16" s="149" customFormat="1" ht="32.25" customHeight="1" x14ac:dyDescent="0.4">
      <c r="B81" s="297"/>
      <c r="C81" s="145"/>
      <c r="D81" s="145"/>
      <c r="E81" s="146"/>
      <c r="F81" s="144"/>
      <c r="G81" s="147"/>
      <c r="H81" s="148"/>
      <c r="I81" s="117"/>
      <c r="J81" s="117"/>
      <c r="K81" s="117"/>
      <c r="L81" s="117"/>
      <c r="M81" s="117"/>
      <c r="N81" s="117"/>
      <c r="O81" s="117"/>
      <c r="P81" s="117"/>
    </row>
    <row r="82" spans="2:16" s="149" customFormat="1" ht="32.25" customHeight="1" x14ac:dyDescent="0.4">
      <c r="B82" s="297"/>
      <c r="C82" s="145"/>
      <c r="D82" s="145"/>
      <c r="E82" s="146"/>
      <c r="F82" s="144"/>
      <c r="G82" s="147"/>
      <c r="H82" s="148"/>
      <c r="I82" s="117"/>
      <c r="J82" s="117"/>
      <c r="K82" s="117"/>
      <c r="L82" s="117"/>
      <c r="M82" s="117"/>
      <c r="N82" s="117"/>
      <c r="O82" s="117"/>
      <c r="P82" s="117"/>
    </row>
    <row r="83" spans="2:16" s="149" customFormat="1" ht="32.25" customHeight="1" x14ac:dyDescent="0.4">
      <c r="B83" s="297"/>
      <c r="C83" s="145"/>
      <c r="D83" s="145"/>
      <c r="E83" s="146"/>
      <c r="F83" s="144"/>
      <c r="G83" s="147"/>
      <c r="H83" s="148"/>
      <c r="I83" s="117"/>
      <c r="J83" s="117"/>
      <c r="K83" s="117"/>
      <c r="L83" s="117"/>
      <c r="M83" s="117"/>
      <c r="N83" s="117"/>
      <c r="O83" s="117"/>
      <c r="P83" s="117"/>
    </row>
    <row r="84" spans="2:16" s="149" customFormat="1" ht="32.25" customHeight="1" x14ac:dyDescent="0.4">
      <c r="B84" s="297"/>
      <c r="C84" s="145"/>
      <c r="D84" s="145"/>
      <c r="E84" s="146"/>
      <c r="F84" s="144"/>
      <c r="G84" s="147"/>
      <c r="H84" s="148"/>
      <c r="I84" s="117"/>
      <c r="J84" s="117"/>
      <c r="K84" s="117"/>
      <c r="L84" s="117"/>
      <c r="M84" s="117"/>
      <c r="N84" s="117"/>
      <c r="O84" s="117"/>
      <c r="P84" s="117"/>
    </row>
    <row r="85" spans="2:16" s="149" customFormat="1" ht="32.25" customHeight="1" x14ac:dyDescent="0.4">
      <c r="B85" s="297"/>
      <c r="C85" s="145"/>
      <c r="D85" s="145"/>
      <c r="E85" s="146"/>
      <c r="F85" s="144"/>
      <c r="G85" s="147"/>
      <c r="H85" s="148"/>
      <c r="I85" s="117"/>
      <c r="J85" s="117"/>
      <c r="K85" s="117"/>
      <c r="L85" s="117"/>
      <c r="M85" s="117"/>
      <c r="N85" s="117"/>
      <c r="O85" s="117"/>
      <c r="P85" s="117"/>
    </row>
    <row r="86" spans="2:16" s="149" customFormat="1" ht="32.25" customHeight="1" x14ac:dyDescent="0.4">
      <c r="B86" s="297"/>
      <c r="C86" s="145"/>
      <c r="D86" s="145"/>
      <c r="E86" s="146"/>
      <c r="F86" s="144"/>
      <c r="G86" s="147"/>
      <c r="H86" s="148"/>
      <c r="I86" s="117"/>
      <c r="J86" s="117"/>
      <c r="K86" s="117"/>
      <c r="L86" s="117"/>
      <c r="M86" s="117"/>
      <c r="N86" s="117"/>
      <c r="O86" s="117"/>
      <c r="P86" s="117"/>
    </row>
    <row r="87" spans="2:16" s="149" customFormat="1" ht="32.25" customHeight="1" x14ac:dyDescent="0.4">
      <c r="B87" s="297"/>
      <c r="C87" s="145"/>
      <c r="D87" s="145"/>
      <c r="E87" s="146"/>
      <c r="F87" s="144"/>
      <c r="G87" s="147"/>
      <c r="H87" s="148"/>
      <c r="I87" s="117"/>
      <c r="J87" s="117"/>
      <c r="K87" s="117"/>
      <c r="L87" s="117"/>
      <c r="M87" s="117"/>
      <c r="N87" s="117"/>
      <c r="O87" s="117"/>
      <c r="P87" s="117"/>
    </row>
    <row r="88" spans="2:16" s="149" customFormat="1" ht="32.25" customHeight="1" x14ac:dyDescent="0.4">
      <c r="B88" s="297"/>
      <c r="C88" s="145"/>
      <c r="D88" s="145"/>
      <c r="E88" s="146"/>
      <c r="F88" s="144"/>
      <c r="G88" s="147"/>
      <c r="H88" s="148"/>
      <c r="I88" s="117"/>
      <c r="J88" s="117"/>
      <c r="K88" s="117"/>
      <c r="L88" s="117"/>
      <c r="M88" s="117"/>
      <c r="N88" s="117"/>
      <c r="O88" s="117"/>
      <c r="P88" s="117"/>
    </row>
    <row r="89" spans="2:16" s="149" customFormat="1" ht="32.25" customHeight="1" x14ac:dyDescent="0.4">
      <c r="B89" s="297"/>
      <c r="C89" s="145"/>
      <c r="D89" s="145"/>
      <c r="E89" s="146"/>
      <c r="F89" s="144"/>
      <c r="G89" s="147"/>
      <c r="H89" s="148"/>
      <c r="I89" s="117"/>
      <c r="J89" s="117"/>
      <c r="K89" s="117"/>
      <c r="L89" s="117"/>
      <c r="M89" s="117"/>
      <c r="N89" s="117"/>
      <c r="O89" s="117"/>
      <c r="P89" s="117"/>
    </row>
    <row r="90" spans="2:16" s="149" customFormat="1" ht="32.25" customHeight="1" x14ac:dyDescent="0.4">
      <c r="B90" s="297"/>
      <c r="C90" s="145"/>
      <c r="D90" s="145"/>
      <c r="E90" s="146"/>
      <c r="F90" s="144"/>
      <c r="G90" s="147"/>
      <c r="H90" s="148"/>
      <c r="I90" s="117"/>
      <c r="J90" s="117"/>
      <c r="K90" s="117"/>
      <c r="L90" s="117"/>
      <c r="M90" s="117"/>
      <c r="N90" s="117"/>
      <c r="O90" s="117"/>
      <c r="P90" s="117"/>
    </row>
    <row r="91" spans="2:16" s="149" customFormat="1" ht="32.25" customHeight="1" x14ac:dyDescent="0.4">
      <c r="B91" s="297"/>
      <c r="C91" s="145"/>
      <c r="D91" s="145"/>
      <c r="E91" s="146"/>
      <c r="F91" s="144"/>
      <c r="G91" s="147"/>
      <c r="H91" s="148"/>
      <c r="I91" s="117"/>
      <c r="J91" s="117"/>
      <c r="K91" s="117"/>
      <c r="L91" s="117"/>
      <c r="M91" s="117"/>
      <c r="N91" s="117"/>
      <c r="O91" s="117"/>
      <c r="P91" s="117"/>
    </row>
    <row r="92" spans="2:16" s="149" customFormat="1" ht="32.25" customHeight="1" x14ac:dyDescent="0.4">
      <c r="B92" s="297"/>
      <c r="C92" s="145"/>
      <c r="D92" s="145"/>
      <c r="E92" s="146"/>
      <c r="F92" s="144"/>
      <c r="G92" s="147"/>
      <c r="H92" s="148"/>
      <c r="I92" s="117"/>
      <c r="J92" s="117"/>
      <c r="K92" s="117"/>
      <c r="L92" s="117"/>
      <c r="M92" s="117"/>
      <c r="N92" s="117"/>
      <c r="O92" s="117"/>
      <c r="P92" s="117"/>
    </row>
    <row r="93" spans="2:16" s="149" customFormat="1" ht="32.25" customHeight="1" x14ac:dyDescent="0.4">
      <c r="B93" s="297"/>
      <c r="C93" s="145"/>
      <c r="D93" s="145"/>
      <c r="E93" s="146"/>
      <c r="F93" s="144"/>
      <c r="G93" s="147"/>
      <c r="H93" s="148"/>
      <c r="I93" s="117"/>
      <c r="J93" s="117"/>
      <c r="K93" s="117"/>
      <c r="L93" s="117"/>
      <c r="M93" s="117"/>
      <c r="N93" s="117"/>
      <c r="O93" s="117"/>
      <c r="P93" s="117"/>
    </row>
    <row r="94" spans="2:16" s="149" customFormat="1" ht="32.25" customHeight="1" x14ac:dyDescent="0.4">
      <c r="B94" s="297"/>
      <c r="C94" s="145"/>
      <c r="D94" s="145"/>
      <c r="E94" s="146"/>
      <c r="F94" s="144"/>
      <c r="G94" s="147"/>
      <c r="H94" s="148"/>
      <c r="I94" s="117"/>
      <c r="J94" s="117"/>
      <c r="K94" s="117"/>
      <c r="L94" s="117"/>
      <c r="M94" s="117"/>
      <c r="N94" s="117"/>
      <c r="O94" s="117"/>
      <c r="P94" s="117"/>
    </row>
    <row r="95" spans="2:16" s="149" customFormat="1" ht="32.25" customHeight="1" x14ac:dyDescent="0.4">
      <c r="B95" s="297"/>
      <c r="C95" s="145"/>
      <c r="D95" s="145"/>
      <c r="E95" s="146"/>
      <c r="F95" s="144"/>
      <c r="G95" s="147"/>
      <c r="H95" s="148"/>
      <c r="I95" s="117"/>
      <c r="J95" s="117"/>
      <c r="K95" s="117"/>
      <c r="L95" s="117"/>
      <c r="M95" s="117"/>
      <c r="N95" s="117"/>
      <c r="O95" s="117"/>
      <c r="P95" s="117"/>
    </row>
    <row r="96" spans="2:16" s="149" customFormat="1" ht="32.25" customHeight="1" x14ac:dyDescent="0.4">
      <c r="B96" s="297"/>
      <c r="C96" s="145"/>
      <c r="D96" s="145"/>
      <c r="E96" s="146"/>
      <c r="F96" s="144"/>
      <c r="G96" s="147"/>
      <c r="H96" s="148"/>
      <c r="I96" s="117"/>
      <c r="J96" s="117"/>
      <c r="K96" s="117"/>
      <c r="L96" s="117"/>
      <c r="M96" s="117"/>
      <c r="N96" s="117"/>
      <c r="O96" s="117"/>
      <c r="P96" s="117"/>
    </row>
    <row r="97" spans="2:16" s="149" customFormat="1" ht="32.25" customHeight="1" x14ac:dyDescent="0.4">
      <c r="B97" s="297"/>
      <c r="C97" s="145"/>
      <c r="D97" s="145"/>
      <c r="E97" s="146"/>
      <c r="F97" s="144"/>
      <c r="G97" s="147"/>
      <c r="H97" s="148"/>
      <c r="I97" s="117"/>
      <c r="J97" s="117"/>
      <c r="K97" s="117"/>
      <c r="L97" s="117"/>
      <c r="M97" s="117"/>
      <c r="N97" s="117"/>
      <c r="O97" s="117"/>
      <c r="P97" s="117"/>
    </row>
    <row r="98" spans="2:16" s="149" customFormat="1" ht="32.25" customHeight="1" x14ac:dyDescent="0.4">
      <c r="B98" s="297"/>
      <c r="C98" s="145"/>
      <c r="D98" s="145"/>
      <c r="E98" s="146"/>
      <c r="F98" s="144"/>
      <c r="G98" s="147"/>
      <c r="H98" s="148"/>
      <c r="I98" s="117"/>
      <c r="J98" s="117"/>
      <c r="K98" s="117"/>
      <c r="L98" s="117"/>
      <c r="M98" s="117"/>
      <c r="N98" s="117"/>
      <c r="O98" s="117"/>
      <c r="P98" s="117"/>
    </row>
    <row r="99" spans="2:16" s="149" customFormat="1" ht="32.25" customHeight="1" x14ac:dyDescent="0.4">
      <c r="B99" s="297"/>
      <c r="C99" s="145"/>
      <c r="D99" s="145"/>
      <c r="E99" s="146"/>
      <c r="F99" s="144"/>
      <c r="G99" s="147"/>
      <c r="H99" s="148"/>
      <c r="I99" s="117"/>
      <c r="J99" s="117"/>
      <c r="K99" s="117"/>
      <c r="L99" s="117"/>
      <c r="M99" s="117"/>
      <c r="N99" s="117"/>
      <c r="O99" s="117"/>
      <c r="P99" s="117"/>
    </row>
    <row r="100" spans="2:16" s="149" customFormat="1" ht="32.25" customHeight="1" x14ac:dyDescent="0.4">
      <c r="B100" s="297"/>
      <c r="C100" s="145"/>
      <c r="D100" s="145"/>
      <c r="E100" s="146"/>
      <c r="F100" s="144"/>
      <c r="G100" s="147"/>
      <c r="H100" s="148"/>
      <c r="I100" s="117"/>
      <c r="J100" s="117"/>
      <c r="K100" s="117"/>
      <c r="L100" s="117"/>
      <c r="M100" s="117"/>
      <c r="N100" s="117"/>
      <c r="O100" s="117"/>
      <c r="P100" s="117"/>
    </row>
    <row r="101" spans="2:16" s="149" customFormat="1" ht="32.25" customHeight="1" x14ac:dyDescent="0.4">
      <c r="B101" s="297"/>
      <c r="C101" s="145"/>
      <c r="D101" s="145"/>
      <c r="E101" s="146"/>
      <c r="F101" s="144"/>
      <c r="G101" s="147"/>
      <c r="H101" s="148"/>
      <c r="I101" s="117"/>
      <c r="J101" s="117"/>
      <c r="K101" s="117"/>
      <c r="L101" s="117"/>
      <c r="M101" s="117"/>
      <c r="N101" s="117"/>
      <c r="O101" s="117"/>
      <c r="P101" s="117"/>
    </row>
    <row r="102" spans="2:16" s="149" customFormat="1" ht="32.25" customHeight="1" x14ac:dyDescent="0.4">
      <c r="B102" s="297"/>
      <c r="C102" s="145"/>
      <c r="D102" s="145"/>
      <c r="E102" s="146"/>
      <c r="F102" s="144"/>
      <c r="G102" s="147"/>
      <c r="H102" s="148"/>
      <c r="I102" s="117"/>
      <c r="J102" s="117"/>
      <c r="K102" s="117"/>
      <c r="L102" s="117"/>
      <c r="M102" s="117"/>
      <c r="N102" s="117"/>
      <c r="O102" s="117"/>
      <c r="P102" s="117"/>
    </row>
    <row r="103" spans="2:16" s="149" customFormat="1" ht="32.25" customHeight="1" x14ac:dyDescent="0.4">
      <c r="B103" s="297"/>
      <c r="C103" s="145"/>
      <c r="D103" s="145"/>
      <c r="E103" s="146"/>
      <c r="F103" s="144"/>
      <c r="G103" s="147"/>
      <c r="H103" s="148"/>
      <c r="I103" s="117"/>
      <c r="J103" s="117"/>
      <c r="K103" s="117"/>
      <c r="L103" s="117"/>
      <c r="M103" s="117"/>
      <c r="N103" s="117"/>
      <c r="O103" s="117"/>
      <c r="P103" s="117"/>
    </row>
    <row r="104" spans="2:16" s="149" customFormat="1" ht="32.25" customHeight="1" x14ac:dyDescent="0.4">
      <c r="B104" s="297"/>
      <c r="C104" s="145"/>
      <c r="D104" s="145"/>
      <c r="E104" s="146"/>
      <c r="F104" s="144"/>
      <c r="G104" s="147"/>
      <c r="H104" s="148"/>
      <c r="I104" s="117"/>
      <c r="J104" s="117"/>
      <c r="K104" s="117"/>
      <c r="L104" s="117"/>
      <c r="M104" s="117"/>
      <c r="N104" s="117"/>
      <c r="O104" s="117"/>
      <c r="P104" s="117"/>
    </row>
    <row r="105" spans="2:16" s="149" customFormat="1" ht="32.25" customHeight="1" x14ac:dyDescent="0.4">
      <c r="B105" s="297"/>
      <c r="C105" s="145"/>
      <c r="D105" s="145"/>
      <c r="E105" s="146"/>
      <c r="F105" s="144"/>
      <c r="G105" s="147"/>
      <c r="H105" s="148"/>
      <c r="I105" s="117"/>
      <c r="J105" s="117"/>
      <c r="K105" s="117"/>
      <c r="L105" s="117"/>
      <c r="M105" s="117"/>
      <c r="N105" s="117"/>
      <c r="O105" s="117"/>
      <c r="P105" s="117"/>
    </row>
    <row r="106" spans="2:16" s="149" customFormat="1" ht="32.25" customHeight="1" x14ac:dyDescent="0.4">
      <c r="B106" s="297"/>
      <c r="C106" s="145"/>
      <c r="D106" s="145"/>
      <c r="E106" s="146"/>
      <c r="F106" s="144"/>
      <c r="G106" s="147"/>
      <c r="H106" s="148"/>
      <c r="I106" s="117"/>
      <c r="J106" s="117"/>
      <c r="K106" s="117"/>
      <c r="L106" s="117"/>
      <c r="M106" s="117"/>
      <c r="N106" s="117"/>
      <c r="O106" s="117"/>
      <c r="P106" s="117"/>
    </row>
    <row r="107" spans="2:16" s="149" customFormat="1" ht="32.25" customHeight="1" x14ac:dyDescent="0.4">
      <c r="B107" s="297"/>
      <c r="C107" s="145"/>
      <c r="D107" s="145"/>
      <c r="E107" s="146"/>
      <c r="F107" s="144"/>
      <c r="G107" s="147"/>
      <c r="H107" s="148"/>
      <c r="I107" s="117"/>
      <c r="J107" s="117"/>
      <c r="K107" s="117"/>
      <c r="L107" s="117"/>
      <c r="M107" s="117"/>
      <c r="N107" s="117"/>
      <c r="O107" s="117"/>
      <c r="P107" s="117"/>
    </row>
    <row r="108" spans="2:16" s="149" customFormat="1" ht="32.25" customHeight="1" x14ac:dyDescent="0.4">
      <c r="B108" s="297"/>
      <c r="C108" s="145"/>
      <c r="D108" s="145"/>
      <c r="E108" s="146"/>
      <c r="F108" s="144"/>
      <c r="G108" s="147"/>
      <c r="H108" s="148"/>
      <c r="I108" s="117"/>
      <c r="J108" s="117"/>
      <c r="K108" s="117"/>
      <c r="L108" s="117"/>
      <c r="M108" s="117"/>
      <c r="N108" s="117"/>
      <c r="O108" s="117"/>
      <c r="P108" s="117"/>
    </row>
    <row r="109" spans="2:16" s="149" customFormat="1" ht="32.25" customHeight="1" x14ac:dyDescent="0.4">
      <c r="B109" s="297"/>
      <c r="C109" s="145"/>
      <c r="D109" s="145"/>
      <c r="E109" s="146"/>
      <c r="F109" s="144"/>
      <c r="G109" s="147"/>
      <c r="H109" s="148"/>
      <c r="I109" s="117"/>
      <c r="J109" s="117"/>
      <c r="K109" s="117"/>
      <c r="L109" s="117"/>
      <c r="M109" s="117"/>
      <c r="N109" s="117"/>
      <c r="O109" s="117"/>
      <c r="P109" s="117"/>
    </row>
    <row r="110" spans="2:16" s="149" customFormat="1" ht="32.25" customHeight="1" x14ac:dyDescent="0.4">
      <c r="B110" s="297"/>
      <c r="C110" s="145"/>
      <c r="D110" s="145"/>
      <c r="E110" s="146"/>
      <c r="F110" s="144"/>
      <c r="G110" s="147"/>
      <c r="H110" s="148"/>
      <c r="I110" s="117"/>
      <c r="J110" s="117"/>
      <c r="K110" s="117"/>
      <c r="L110" s="117"/>
      <c r="M110" s="117"/>
      <c r="N110" s="117"/>
      <c r="O110" s="117"/>
      <c r="P110" s="117"/>
    </row>
    <row r="111" spans="2:16" s="149" customFormat="1" ht="32.25" customHeight="1" x14ac:dyDescent="0.4">
      <c r="B111" s="297"/>
      <c r="C111" s="145"/>
      <c r="D111" s="145"/>
      <c r="E111" s="146"/>
      <c r="F111" s="144"/>
      <c r="G111" s="147"/>
      <c r="H111" s="148"/>
      <c r="I111" s="117"/>
      <c r="J111" s="117"/>
      <c r="K111" s="117"/>
      <c r="L111" s="117"/>
      <c r="M111" s="117"/>
      <c r="N111" s="117"/>
      <c r="O111" s="117"/>
      <c r="P111" s="117"/>
    </row>
    <row r="112" spans="2:16" s="149" customFormat="1" ht="32.25" customHeight="1" x14ac:dyDescent="0.4">
      <c r="B112" s="297"/>
      <c r="C112" s="145"/>
      <c r="D112" s="145"/>
      <c r="E112" s="146"/>
      <c r="F112" s="144"/>
      <c r="G112" s="147"/>
      <c r="H112" s="148"/>
      <c r="I112" s="117"/>
      <c r="J112" s="117"/>
      <c r="K112" s="117"/>
      <c r="L112" s="117"/>
      <c r="M112" s="117"/>
      <c r="N112" s="117"/>
      <c r="O112" s="117"/>
      <c r="P112" s="117"/>
    </row>
    <row r="113" spans="2:16" s="149" customFormat="1" ht="32.25" customHeight="1" x14ac:dyDescent="0.4">
      <c r="B113" s="297"/>
      <c r="C113" s="145"/>
      <c r="D113" s="145"/>
      <c r="E113" s="146"/>
      <c r="F113" s="144"/>
      <c r="G113" s="147"/>
      <c r="H113" s="148"/>
      <c r="I113" s="117"/>
      <c r="J113" s="117"/>
      <c r="K113" s="117"/>
      <c r="L113" s="117"/>
      <c r="M113" s="117"/>
      <c r="N113" s="117"/>
      <c r="O113" s="117"/>
      <c r="P113" s="117"/>
    </row>
    <row r="114" spans="2:16" s="149" customFormat="1" ht="32.25" customHeight="1" x14ac:dyDescent="0.4">
      <c r="B114" s="297"/>
      <c r="C114" s="145"/>
      <c r="D114" s="145"/>
      <c r="E114" s="146"/>
      <c r="F114" s="144"/>
      <c r="G114" s="147"/>
      <c r="H114" s="148"/>
      <c r="I114" s="117"/>
      <c r="J114" s="117"/>
      <c r="K114" s="117"/>
      <c r="L114" s="117"/>
      <c r="M114" s="117"/>
      <c r="N114" s="117"/>
      <c r="O114" s="117"/>
      <c r="P114" s="117"/>
    </row>
    <row r="115" spans="2:16" s="149" customFormat="1" ht="32.25" customHeight="1" x14ac:dyDescent="0.4">
      <c r="B115" s="297"/>
      <c r="C115" s="145"/>
      <c r="D115" s="145"/>
      <c r="E115" s="146"/>
      <c r="F115" s="144"/>
      <c r="G115" s="147"/>
      <c r="H115" s="148"/>
      <c r="I115" s="117"/>
      <c r="J115" s="117"/>
      <c r="K115" s="117"/>
      <c r="L115" s="117"/>
      <c r="M115" s="117"/>
      <c r="N115" s="117"/>
      <c r="O115" s="117"/>
      <c r="P115" s="117"/>
    </row>
    <row r="116" spans="2:16" s="149" customFormat="1" ht="32.25" customHeight="1" x14ac:dyDescent="0.4">
      <c r="B116" s="297"/>
      <c r="C116" s="145"/>
      <c r="D116" s="145"/>
      <c r="E116" s="146"/>
      <c r="F116" s="144"/>
      <c r="G116" s="147"/>
      <c r="H116" s="148"/>
      <c r="I116" s="117"/>
      <c r="J116" s="117"/>
      <c r="K116" s="117"/>
      <c r="L116" s="117"/>
      <c r="M116" s="117"/>
      <c r="N116" s="117"/>
      <c r="O116" s="117"/>
      <c r="P116" s="117"/>
    </row>
    <row r="117" spans="2:16" s="149" customFormat="1" ht="32.25" customHeight="1" x14ac:dyDescent="0.4">
      <c r="B117" s="297"/>
      <c r="C117" s="145"/>
      <c r="D117" s="145"/>
      <c r="E117" s="146"/>
      <c r="F117" s="144"/>
      <c r="G117" s="147"/>
      <c r="H117" s="148"/>
      <c r="I117" s="117"/>
      <c r="J117" s="117"/>
      <c r="K117" s="117"/>
      <c r="L117" s="117"/>
      <c r="M117" s="117"/>
      <c r="N117" s="117"/>
      <c r="O117" s="117"/>
      <c r="P117" s="117"/>
    </row>
    <row r="118" spans="2:16" s="149" customFormat="1" ht="32.25" customHeight="1" x14ac:dyDescent="0.4">
      <c r="B118" s="297"/>
      <c r="C118" s="145"/>
      <c r="D118" s="145"/>
      <c r="E118" s="146"/>
      <c r="F118" s="144"/>
      <c r="G118" s="147"/>
      <c r="H118" s="148"/>
      <c r="I118" s="117"/>
      <c r="J118" s="117"/>
      <c r="K118" s="117"/>
      <c r="L118" s="117"/>
      <c r="M118" s="117"/>
      <c r="N118" s="117"/>
      <c r="O118" s="117"/>
      <c r="P118" s="117"/>
    </row>
    <row r="119" spans="2:16" s="149" customFormat="1" ht="32.25" customHeight="1" x14ac:dyDescent="0.4">
      <c r="B119" s="297"/>
      <c r="C119" s="145"/>
      <c r="D119" s="145"/>
      <c r="E119" s="146"/>
      <c r="F119" s="144"/>
      <c r="G119" s="147"/>
      <c r="H119" s="148"/>
      <c r="I119" s="117"/>
      <c r="J119" s="117"/>
      <c r="K119" s="117"/>
      <c r="L119" s="117"/>
      <c r="M119" s="117"/>
      <c r="N119" s="117"/>
      <c r="O119" s="117"/>
      <c r="P119" s="117"/>
    </row>
    <row r="120" spans="2:16" s="149" customFormat="1" ht="32.25" customHeight="1" x14ac:dyDescent="0.4">
      <c r="B120" s="297"/>
      <c r="C120" s="145"/>
      <c r="D120" s="145"/>
      <c r="E120" s="146"/>
      <c r="F120" s="144"/>
      <c r="G120" s="147"/>
      <c r="H120" s="148"/>
      <c r="I120" s="117"/>
      <c r="J120" s="117"/>
      <c r="K120" s="117"/>
      <c r="L120" s="117"/>
      <c r="M120" s="117"/>
      <c r="N120" s="117"/>
      <c r="O120" s="117"/>
      <c r="P120" s="117"/>
    </row>
    <row r="121" spans="2:16" s="149" customFormat="1" ht="32.25" customHeight="1" x14ac:dyDescent="0.4">
      <c r="B121" s="297"/>
      <c r="C121" s="145"/>
      <c r="D121" s="145"/>
      <c r="E121" s="146"/>
      <c r="F121" s="144"/>
      <c r="G121" s="147"/>
      <c r="H121" s="148"/>
      <c r="I121" s="117"/>
      <c r="J121" s="117"/>
      <c r="K121" s="117"/>
      <c r="L121" s="117"/>
      <c r="M121" s="117"/>
      <c r="N121" s="117"/>
      <c r="O121" s="117"/>
      <c r="P121" s="117"/>
    </row>
    <row r="122" spans="2:16" s="149" customFormat="1" ht="32.25" customHeight="1" x14ac:dyDescent="0.4">
      <c r="B122" s="297"/>
      <c r="C122" s="145"/>
      <c r="D122" s="145"/>
      <c r="E122" s="146"/>
      <c r="F122" s="144"/>
      <c r="G122" s="147"/>
      <c r="H122" s="148"/>
      <c r="I122" s="117"/>
      <c r="J122" s="117"/>
      <c r="K122" s="117"/>
      <c r="L122" s="117"/>
      <c r="M122" s="117"/>
      <c r="N122" s="117"/>
      <c r="O122" s="117"/>
      <c r="P122" s="117"/>
    </row>
    <row r="123" spans="2:16" s="149" customFormat="1" ht="32.25" customHeight="1" x14ac:dyDescent="0.4">
      <c r="B123" s="297"/>
      <c r="C123" s="145"/>
      <c r="D123" s="145"/>
      <c r="E123" s="146"/>
      <c r="F123" s="144"/>
      <c r="G123" s="147"/>
      <c r="H123" s="148"/>
      <c r="I123" s="117"/>
      <c r="J123" s="117"/>
      <c r="K123" s="117"/>
      <c r="L123" s="117"/>
      <c r="M123" s="117"/>
      <c r="N123" s="117"/>
      <c r="O123" s="117"/>
      <c r="P123" s="117"/>
    </row>
    <row r="124" spans="2:16" s="149" customFormat="1" ht="32.25" customHeight="1" x14ac:dyDescent="0.4">
      <c r="B124" s="297"/>
      <c r="C124" s="145"/>
      <c r="D124" s="145"/>
      <c r="E124" s="146"/>
      <c r="F124" s="144"/>
      <c r="G124" s="147"/>
      <c r="H124" s="148"/>
      <c r="I124" s="117"/>
      <c r="J124" s="117"/>
      <c r="K124" s="117"/>
      <c r="L124" s="117"/>
      <c r="M124" s="117"/>
      <c r="N124" s="117"/>
      <c r="O124" s="117"/>
      <c r="P124" s="117"/>
    </row>
    <row r="125" spans="2:16" s="149" customFormat="1" ht="32.25" customHeight="1" x14ac:dyDescent="0.4">
      <c r="B125" s="297"/>
      <c r="C125" s="145"/>
      <c r="D125" s="145"/>
      <c r="E125" s="146"/>
      <c r="F125" s="144"/>
      <c r="G125" s="147"/>
      <c r="H125" s="148"/>
      <c r="I125" s="117"/>
      <c r="J125" s="117"/>
      <c r="K125" s="117"/>
      <c r="L125" s="117"/>
      <c r="M125" s="117"/>
      <c r="N125" s="117"/>
      <c r="O125" s="117"/>
      <c r="P125" s="117"/>
    </row>
    <row r="126" spans="2:16" s="149" customFormat="1" ht="32.25" customHeight="1" x14ac:dyDescent="0.4">
      <c r="B126" s="297"/>
      <c r="C126" s="145"/>
      <c r="D126" s="145"/>
      <c r="E126" s="146"/>
      <c r="F126" s="144"/>
      <c r="G126" s="147"/>
      <c r="H126" s="148"/>
      <c r="I126" s="117"/>
      <c r="J126" s="117"/>
      <c r="K126" s="117"/>
      <c r="L126" s="117"/>
      <c r="M126" s="117"/>
      <c r="N126" s="117"/>
      <c r="O126" s="117"/>
      <c r="P126" s="117"/>
    </row>
    <row r="127" spans="2:16" s="149" customFormat="1" ht="32.25" customHeight="1" x14ac:dyDescent="0.4">
      <c r="B127" s="297"/>
      <c r="C127" s="145"/>
      <c r="D127" s="145"/>
      <c r="E127" s="146"/>
      <c r="F127" s="144"/>
      <c r="G127" s="147"/>
      <c r="H127" s="148"/>
      <c r="I127" s="117"/>
      <c r="J127" s="117"/>
      <c r="K127" s="117"/>
      <c r="L127" s="117"/>
      <c r="M127" s="117"/>
      <c r="N127" s="117"/>
      <c r="O127" s="117"/>
      <c r="P127" s="117"/>
    </row>
    <row r="128" spans="2:16" s="149" customFormat="1" ht="32.25" customHeight="1" x14ac:dyDescent="0.4">
      <c r="B128" s="297"/>
      <c r="C128" s="145"/>
      <c r="D128" s="145"/>
      <c r="E128" s="146"/>
      <c r="F128" s="144"/>
      <c r="G128" s="147"/>
      <c r="H128" s="148"/>
      <c r="I128" s="117"/>
      <c r="J128" s="117"/>
      <c r="K128" s="117"/>
      <c r="L128" s="117"/>
      <c r="M128" s="117"/>
      <c r="N128" s="117"/>
      <c r="O128" s="117"/>
      <c r="P128" s="117"/>
    </row>
    <row r="129" spans="2:16" s="149" customFormat="1" ht="32.25" customHeight="1" x14ac:dyDescent="0.4">
      <c r="B129" s="297"/>
      <c r="C129" s="145"/>
      <c r="D129" s="145"/>
      <c r="E129" s="146"/>
      <c r="F129" s="144"/>
      <c r="G129" s="147"/>
      <c r="H129" s="148"/>
      <c r="I129" s="117"/>
      <c r="J129" s="117"/>
      <c r="K129" s="117"/>
      <c r="L129" s="117"/>
      <c r="M129" s="117"/>
      <c r="N129" s="117"/>
      <c r="O129" s="117"/>
      <c r="P129" s="117"/>
    </row>
    <row r="130" spans="2:16" s="149" customFormat="1" ht="32.25" customHeight="1" x14ac:dyDescent="0.4">
      <c r="B130" s="297"/>
      <c r="C130" s="145"/>
      <c r="D130" s="145"/>
      <c r="E130" s="146"/>
      <c r="F130" s="144"/>
      <c r="G130" s="147"/>
      <c r="H130" s="148"/>
      <c r="I130" s="117"/>
      <c r="J130" s="117"/>
      <c r="K130" s="117"/>
      <c r="L130" s="117"/>
      <c r="M130" s="117"/>
      <c r="N130" s="117"/>
      <c r="O130" s="117"/>
      <c r="P130" s="117"/>
    </row>
    <row r="131" spans="2:16" s="149" customFormat="1" ht="32.25" customHeight="1" x14ac:dyDescent="0.4">
      <c r="B131" s="297"/>
      <c r="C131" s="145"/>
      <c r="D131" s="145"/>
      <c r="E131" s="146"/>
      <c r="F131" s="144"/>
      <c r="G131" s="147"/>
      <c r="H131" s="148"/>
      <c r="I131" s="117"/>
      <c r="J131" s="117"/>
      <c r="K131" s="117"/>
      <c r="L131" s="117"/>
      <c r="M131" s="117"/>
      <c r="N131" s="117"/>
      <c r="O131" s="117"/>
      <c r="P131" s="117"/>
    </row>
    <row r="132" spans="2:16" s="149" customFormat="1" ht="32.25" customHeight="1" x14ac:dyDescent="0.4">
      <c r="B132" s="297"/>
      <c r="C132" s="145"/>
      <c r="D132" s="145"/>
      <c r="E132" s="146"/>
      <c r="F132" s="144"/>
      <c r="G132" s="147"/>
      <c r="H132" s="148"/>
      <c r="I132" s="117"/>
      <c r="J132" s="117"/>
      <c r="K132" s="117"/>
      <c r="L132" s="117"/>
      <c r="M132" s="117"/>
      <c r="N132" s="117"/>
      <c r="O132" s="117"/>
      <c r="P132" s="117"/>
    </row>
    <row r="133" spans="2:16" s="149" customFormat="1" ht="32.25" customHeight="1" x14ac:dyDescent="0.4">
      <c r="B133" s="297"/>
      <c r="C133" s="145"/>
      <c r="D133" s="145"/>
      <c r="E133" s="146"/>
      <c r="F133" s="144"/>
      <c r="G133" s="147"/>
      <c r="H133" s="148"/>
      <c r="I133" s="117"/>
      <c r="J133" s="117"/>
      <c r="K133" s="117"/>
      <c r="L133" s="117"/>
      <c r="M133" s="117"/>
      <c r="N133" s="117"/>
      <c r="O133" s="117"/>
      <c r="P133" s="117"/>
    </row>
    <row r="134" spans="2:16" s="149" customFormat="1" ht="32.25" customHeight="1" x14ac:dyDescent="0.4">
      <c r="B134" s="297"/>
      <c r="C134" s="145"/>
      <c r="D134" s="145"/>
      <c r="E134" s="146"/>
      <c r="F134" s="144"/>
      <c r="G134" s="147"/>
      <c r="H134" s="148"/>
      <c r="I134" s="117"/>
      <c r="J134" s="117"/>
      <c r="K134" s="117"/>
      <c r="L134" s="117"/>
      <c r="M134" s="117"/>
      <c r="N134" s="117"/>
      <c r="O134" s="117"/>
      <c r="P134" s="117"/>
    </row>
    <row r="135" spans="2:16" s="149" customFormat="1" ht="32.25" customHeight="1" x14ac:dyDescent="0.4">
      <c r="B135" s="297"/>
      <c r="C135" s="145"/>
      <c r="D135" s="145"/>
      <c r="E135" s="146"/>
      <c r="F135" s="144"/>
      <c r="G135" s="147"/>
      <c r="H135" s="148"/>
      <c r="I135" s="117"/>
      <c r="J135" s="117"/>
      <c r="K135" s="117"/>
      <c r="L135" s="117"/>
      <c r="M135" s="117"/>
      <c r="N135" s="117"/>
      <c r="O135" s="117"/>
      <c r="P135" s="117"/>
    </row>
    <row r="136" spans="2:16" s="149" customFormat="1" ht="32.25" customHeight="1" x14ac:dyDescent="0.4">
      <c r="B136" s="297"/>
      <c r="C136" s="145"/>
      <c r="D136" s="145"/>
      <c r="E136" s="146"/>
      <c r="F136" s="144"/>
      <c r="G136" s="147"/>
      <c r="H136" s="148"/>
      <c r="I136" s="117"/>
      <c r="J136" s="117"/>
      <c r="K136" s="117"/>
      <c r="L136" s="117"/>
      <c r="M136" s="117"/>
      <c r="N136" s="117"/>
      <c r="O136" s="117"/>
      <c r="P136" s="117"/>
    </row>
    <row r="137" spans="2:16" s="149" customFormat="1" ht="32.25" customHeight="1" x14ac:dyDescent="0.4">
      <c r="B137" s="297"/>
      <c r="C137" s="145"/>
      <c r="D137" s="145"/>
      <c r="E137" s="146"/>
      <c r="F137" s="144"/>
      <c r="G137" s="147"/>
      <c r="H137" s="148"/>
      <c r="I137" s="117"/>
      <c r="J137" s="117"/>
      <c r="K137" s="117"/>
      <c r="L137" s="117"/>
      <c r="M137" s="117"/>
      <c r="N137" s="117"/>
      <c r="O137" s="117"/>
      <c r="P137" s="117"/>
    </row>
    <row r="138" spans="2:16" s="149" customFormat="1" ht="32.25" customHeight="1" x14ac:dyDescent="0.4">
      <c r="B138" s="297"/>
      <c r="C138" s="145"/>
      <c r="D138" s="145"/>
      <c r="E138" s="146"/>
      <c r="F138" s="144"/>
      <c r="G138" s="147"/>
      <c r="H138" s="148"/>
      <c r="I138" s="117"/>
      <c r="J138" s="117"/>
      <c r="K138" s="117"/>
      <c r="L138" s="117"/>
      <c r="M138" s="117"/>
      <c r="N138" s="117"/>
      <c r="O138" s="117"/>
      <c r="P138" s="117"/>
    </row>
    <row r="139" spans="2:16" s="149" customFormat="1" ht="32.25" customHeight="1" x14ac:dyDescent="0.4">
      <c r="B139" s="297"/>
      <c r="C139" s="145"/>
      <c r="D139" s="145"/>
      <c r="E139" s="146"/>
      <c r="F139" s="144"/>
      <c r="G139" s="147"/>
      <c r="H139" s="148"/>
      <c r="I139" s="117"/>
      <c r="J139" s="117"/>
      <c r="K139" s="117"/>
      <c r="L139" s="117"/>
      <c r="M139" s="117"/>
      <c r="N139" s="117"/>
      <c r="O139" s="117"/>
      <c r="P139" s="117"/>
    </row>
    <row r="140" spans="2:16" s="149" customFormat="1" ht="32.25" customHeight="1" x14ac:dyDescent="0.4">
      <c r="B140" s="297"/>
      <c r="C140" s="145"/>
      <c r="D140" s="145"/>
      <c r="E140" s="146"/>
      <c r="F140" s="144"/>
      <c r="G140" s="147"/>
      <c r="H140" s="148"/>
      <c r="I140" s="117"/>
      <c r="J140" s="117"/>
      <c r="K140" s="117"/>
      <c r="L140" s="117"/>
      <c r="M140" s="117"/>
      <c r="N140" s="117"/>
      <c r="O140" s="117"/>
      <c r="P140" s="117"/>
    </row>
    <row r="141" spans="2:16" s="149" customFormat="1" ht="32.25" customHeight="1" x14ac:dyDescent="0.4">
      <c r="B141" s="297"/>
      <c r="C141" s="145"/>
      <c r="D141" s="145"/>
      <c r="E141" s="146"/>
      <c r="F141" s="144"/>
      <c r="G141" s="147"/>
      <c r="H141" s="148"/>
      <c r="I141" s="117"/>
      <c r="J141" s="117"/>
      <c r="K141" s="117"/>
      <c r="L141" s="117"/>
      <c r="M141" s="117"/>
      <c r="N141" s="117"/>
      <c r="O141" s="117"/>
      <c r="P141" s="117"/>
    </row>
    <row r="142" spans="2:16" s="149" customFormat="1" ht="32.25" customHeight="1" x14ac:dyDescent="0.4">
      <c r="B142" s="297"/>
      <c r="C142" s="145"/>
      <c r="D142" s="145"/>
      <c r="E142" s="146"/>
      <c r="F142" s="144"/>
      <c r="G142" s="147"/>
      <c r="H142" s="148"/>
      <c r="I142" s="117"/>
      <c r="J142" s="117"/>
      <c r="K142" s="117"/>
      <c r="L142" s="117"/>
      <c r="M142" s="117"/>
      <c r="N142" s="117"/>
      <c r="O142" s="117"/>
      <c r="P142" s="117"/>
    </row>
    <row r="143" spans="2:16" s="149" customFormat="1" ht="32.25" customHeight="1" x14ac:dyDescent="0.4">
      <c r="B143" s="297"/>
      <c r="C143" s="145"/>
      <c r="D143" s="145"/>
      <c r="E143" s="146"/>
      <c r="F143" s="144"/>
      <c r="G143" s="147"/>
      <c r="H143" s="148"/>
      <c r="I143" s="117"/>
      <c r="J143" s="117"/>
      <c r="K143" s="117"/>
      <c r="L143" s="117"/>
      <c r="M143" s="117"/>
      <c r="N143" s="117"/>
      <c r="O143" s="117"/>
      <c r="P143" s="117"/>
    </row>
    <row r="144" spans="2:16" s="149" customFormat="1" ht="32.25" customHeight="1" x14ac:dyDescent="0.4">
      <c r="B144" s="297"/>
      <c r="C144" s="145"/>
      <c r="D144" s="145"/>
      <c r="E144" s="146"/>
      <c r="F144" s="144"/>
      <c r="G144" s="147"/>
      <c r="H144" s="148"/>
      <c r="I144" s="117"/>
      <c r="J144" s="117"/>
      <c r="K144" s="117"/>
      <c r="L144" s="117"/>
      <c r="M144" s="117"/>
      <c r="N144" s="117"/>
      <c r="O144" s="117"/>
      <c r="P144" s="117"/>
    </row>
    <row r="145" spans="2:16" s="149" customFormat="1" ht="32.25" customHeight="1" x14ac:dyDescent="0.4">
      <c r="B145" s="297"/>
      <c r="C145" s="145"/>
      <c r="D145" s="145"/>
      <c r="E145" s="146"/>
      <c r="F145" s="144"/>
      <c r="G145" s="147"/>
      <c r="H145" s="148"/>
      <c r="I145" s="117"/>
      <c r="J145" s="117"/>
      <c r="K145" s="117"/>
      <c r="L145" s="117"/>
      <c r="M145" s="117"/>
      <c r="N145" s="117"/>
      <c r="O145" s="117"/>
      <c r="P145" s="117"/>
    </row>
    <row r="146" spans="2:16" s="149" customFormat="1" ht="32.25" customHeight="1" x14ac:dyDescent="0.4">
      <c r="B146" s="297"/>
      <c r="C146" s="145"/>
      <c r="D146" s="145"/>
      <c r="E146" s="146"/>
      <c r="F146" s="144"/>
      <c r="G146" s="147"/>
      <c r="H146" s="148"/>
      <c r="I146" s="117"/>
      <c r="J146" s="117"/>
      <c r="K146" s="117"/>
      <c r="L146" s="117"/>
      <c r="M146" s="117"/>
      <c r="N146" s="117"/>
      <c r="O146" s="117"/>
      <c r="P146" s="117"/>
    </row>
  </sheetData>
  <autoFilter ref="B2:H52" xr:uid="{00000000-0009-0000-0000-000001000000}">
    <filterColumn colId="1">
      <filters>
        <filter val="慶豐富"/>
      </filters>
    </filterColumn>
    <filterColumn colId="6">
      <filters>
        <filter val="109.01.01-109.12.31"/>
      </filters>
    </filterColumn>
  </autoFilter>
  <phoneticPr fontId="2" type="noConversion"/>
  <printOptions horizontalCentered="1"/>
  <pageMargins left="0" right="0" top="0" bottom="0" header="0" footer="0"/>
  <pageSetup paperSize="9" scale="70" orientation="portrait" horizontalDpi="180" verticalDpi="18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3" filterMode="1">
    <tabColor theme="9"/>
  </sheetPr>
  <dimension ref="A1:R146"/>
  <sheetViews>
    <sheetView zoomScale="90" workbookViewId="0">
      <pane xSplit="7" ySplit="2" topLeftCell="H9" activePane="bottomRight" state="frozen"/>
      <selection pane="topRight" activeCell="E1" sqref="E1"/>
      <selection pane="bottomLeft" activeCell="A3" sqref="A3"/>
      <selection pane="bottomRight" activeCell="N29" sqref="N29"/>
    </sheetView>
  </sheetViews>
  <sheetFormatPr defaultColWidth="9" defaultRowHeight="32.25" customHeight="1" x14ac:dyDescent="0.4"/>
  <cols>
    <col min="1" max="1" width="5.453125" style="117" bestFit="1" customWidth="1"/>
    <col min="2" max="2" width="4.26953125" style="297" customWidth="1"/>
    <col min="3" max="3" width="11.7265625" style="145" customWidth="1"/>
    <col min="4" max="4" width="11.6328125" style="145" bestFit="1" customWidth="1"/>
    <col min="5" max="5" width="11.453125" style="146" customWidth="1"/>
    <col min="6" max="6" width="11.453125" style="144" customWidth="1"/>
    <col min="7" max="7" width="39.26953125" style="147" customWidth="1"/>
    <col min="8" max="8" width="11.26953125" style="144" customWidth="1"/>
    <col min="9" max="9" width="11.90625" style="144" customWidth="1"/>
    <col min="10" max="10" width="11.90625" style="149" customWidth="1"/>
    <col min="11" max="12" width="10" style="117" bestFit="1" customWidth="1"/>
    <col min="13" max="16384" width="9" style="117"/>
  </cols>
  <sheetData>
    <row r="1" spans="1:15" ht="23.25" customHeight="1" x14ac:dyDescent="0.4">
      <c r="B1" s="461"/>
      <c r="C1" s="460"/>
      <c r="D1" s="460"/>
      <c r="E1" s="460"/>
      <c r="F1" s="461" t="s">
        <v>1061</v>
      </c>
      <c r="G1" s="460"/>
      <c r="H1" s="460"/>
      <c r="I1" s="460"/>
      <c r="J1" s="460"/>
      <c r="M1" s="117" t="s">
        <v>1104</v>
      </c>
      <c r="O1" s="117" t="s">
        <v>1105</v>
      </c>
    </row>
    <row r="2" spans="1:15" ht="27.75" customHeight="1" x14ac:dyDescent="0.4">
      <c r="A2" s="13" t="s">
        <v>1262</v>
      </c>
      <c r="B2" s="152" t="s">
        <v>1</v>
      </c>
      <c r="C2" s="14" t="s">
        <v>632</v>
      </c>
      <c r="D2" s="14" t="s">
        <v>1085</v>
      </c>
      <c r="E2" s="15" t="s">
        <v>146</v>
      </c>
      <c r="F2" s="13" t="s">
        <v>102</v>
      </c>
      <c r="G2" s="15"/>
      <c r="H2" s="135" t="s">
        <v>159</v>
      </c>
      <c r="I2" s="135" t="s">
        <v>376</v>
      </c>
      <c r="J2" s="136" t="s">
        <v>3</v>
      </c>
      <c r="K2" s="442" t="s">
        <v>1102</v>
      </c>
    </row>
    <row r="3" spans="1:15" ht="27.75" hidden="1" customHeight="1" x14ac:dyDescent="0.4">
      <c r="A3" s="13">
        <v>1</v>
      </c>
      <c r="B3" s="155">
        <v>2</v>
      </c>
      <c r="C3" s="33" t="s">
        <v>1086</v>
      </c>
      <c r="D3" s="33" t="s">
        <v>1087</v>
      </c>
      <c r="E3" s="15" t="s">
        <v>11</v>
      </c>
      <c r="F3" s="13" t="s">
        <v>104</v>
      </c>
      <c r="G3" s="119" t="s">
        <v>1203</v>
      </c>
      <c r="H3" s="135" t="s">
        <v>12</v>
      </c>
      <c r="I3" s="135" t="s">
        <v>399</v>
      </c>
      <c r="J3" s="109">
        <v>280000</v>
      </c>
      <c r="K3" s="443">
        <v>6000</v>
      </c>
      <c r="L3" s="397">
        <v>160000</v>
      </c>
    </row>
    <row r="4" spans="1:15" ht="31.5" hidden="1" customHeight="1" x14ac:dyDescent="0.4">
      <c r="A4" s="13">
        <v>2</v>
      </c>
      <c r="B4" s="155">
        <v>9</v>
      </c>
      <c r="C4" s="15" t="s">
        <v>1096</v>
      </c>
      <c r="D4" s="15" t="s">
        <v>1088</v>
      </c>
      <c r="E4" s="15" t="s">
        <v>9</v>
      </c>
      <c r="F4" s="15" t="s">
        <v>105</v>
      </c>
      <c r="G4" s="119" t="s">
        <v>370</v>
      </c>
      <c r="H4" s="15"/>
      <c r="I4" s="15" t="s">
        <v>404</v>
      </c>
      <c r="J4" s="109">
        <v>380000</v>
      </c>
      <c r="K4" s="443">
        <v>10000</v>
      </c>
      <c r="L4" s="111">
        <v>290000</v>
      </c>
    </row>
    <row r="5" spans="1:15" ht="32.25" hidden="1" customHeight="1" x14ac:dyDescent="0.4">
      <c r="A5" s="13">
        <v>3</v>
      </c>
      <c r="B5" s="5">
        <v>20</v>
      </c>
      <c r="C5" s="33" t="s">
        <v>1086</v>
      </c>
      <c r="D5" s="33" t="s">
        <v>1374</v>
      </c>
      <c r="E5" s="15" t="s">
        <v>490</v>
      </c>
      <c r="F5" s="13" t="s">
        <v>104</v>
      </c>
      <c r="G5" s="119" t="s">
        <v>1375</v>
      </c>
      <c r="H5" s="135" t="s">
        <v>24</v>
      </c>
      <c r="I5" s="135" t="s">
        <v>395</v>
      </c>
      <c r="J5" s="109">
        <v>280000</v>
      </c>
      <c r="K5" s="443">
        <v>6000</v>
      </c>
      <c r="L5" s="397">
        <v>200000</v>
      </c>
    </row>
    <row r="6" spans="1:15" ht="32.25" hidden="1" customHeight="1" x14ac:dyDescent="0.4">
      <c r="A6" s="13">
        <v>4</v>
      </c>
      <c r="B6" s="155">
        <v>45</v>
      </c>
      <c r="C6" s="14" t="s">
        <v>1115</v>
      </c>
      <c r="D6" s="14" t="s">
        <v>1100</v>
      </c>
      <c r="E6" s="15" t="s">
        <v>9</v>
      </c>
      <c r="F6" s="13" t="s">
        <v>106</v>
      </c>
      <c r="G6" s="142" t="s">
        <v>1103</v>
      </c>
      <c r="H6" s="116" t="s">
        <v>87</v>
      </c>
      <c r="I6" s="116" t="s">
        <v>383</v>
      </c>
      <c r="J6" s="109">
        <v>350000</v>
      </c>
      <c r="K6" s="443">
        <v>10000</v>
      </c>
      <c r="L6" s="299">
        <v>245000</v>
      </c>
    </row>
    <row r="7" spans="1:15" ht="32.25" hidden="1" customHeight="1" x14ac:dyDescent="0.4">
      <c r="A7" s="13">
        <v>5</v>
      </c>
      <c r="B7" s="155">
        <v>55</v>
      </c>
      <c r="C7" s="14" t="s">
        <v>1097</v>
      </c>
      <c r="D7" s="14"/>
      <c r="E7" s="15" t="s">
        <v>11</v>
      </c>
      <c r="F7" s="13" t="s">
        <v>105</v>
      </c>
      <c r="G7" s="16" t="s">
        <v>373</v>
      </c>
      <c r="H7" s="116">
        <v>41382</v>
      </c>
      <c r="I7" s="116" t="s">
        <v>409</v>
      </c>
      <c r="J7" s="109">
        <v>280000</v>
      </c>
      <c r="K7" s="443">
        <v>6000</v>
      </c>
      <c r="L7" s="518">
        <v>200000</v>
      </c>
    </row>
    <row r="8" spans="1:15" ht="32.25" hidden="1" customHeight="1" x14ac:dyDescent="0.4">
      <c r="A8" s="13">
        <v>6</v>
      </c>
      <c r="B8" s="155">
        <v>56</v>
      </c>
      <c r="C8" s="14" t="s">
        <v>1097</v>
      </c>
      <c r="D8" s="14"/>
      <c r="E8" s="15" t="s">
        <v>11</v>
      </c>
      <c r="F8" s="13" t="s">
        <v>105</v>
      </c>
      <c r="G8" s="119" t="s">
        <v>109</v>
      </c>
      <c r="H8" s="116" t="s">
        <v>89</v>
      </c>
      <c r="I8" s="116" t="s">
        <v>408</v>
      </c>
      <c r="J8" s="109">
        <v>280000</v>
      </c>
      <c r="K8" s="443">
        <v>6000</v>
      </c>
      <c r="L8" s="518">
        <v>200000</v>
      </c>
    </row>
    <row r="9" spans="1:15" ht="32.25" customHeight="1" x14ac:dyDescent="0.4">
      <c r="A9" s="13">
        <v>7</v>
      </c>
      <c r="B9" s="5">
        <v>59</v>
      </c>
      <c r="C9" s="33" t="s">
        <v>695</v>
      </c>
      <c r="D9" s="13" t="s">
        <v>1447</v>
      </c>
      <c r="E9" s="15" t="s">
        <v>14</v>
      </c>
      <c r="F9" s="13" t="s">
        <v>105</v>
      </c>
      <c r="G9" s="119" t="s">
        <v>110</v>
      </c>
      <c r="H9" s="116">
        <v>41403</v>
      </c>
      <c r="I9" s="13" t="s">
        <v>385</v>
      </c>
      <c r="J9" s="109">
        <v>330000</v>
      </c>
      <c r="K9" s="443">
        <v>7000</v>
      </c>
      <c r="L9" s="397">
        <v>210000</v>
      </c>
    </row>
    <row r="10" spans="1:15" ht="32.25" hidden="1" customHeight="1" x14ac:dyDescent="0.4">
      <c r="A10" s="13">
        <v>8</v>
      </c>
      <c r="B10" s="5">
        <v>64</v>
      </c>
      <c r="C10" s="14" t="s">
        <v>831</v>
      </c>
      <c r="D10" s="14" t="s">
        <v>1098</v>
      </c>
      <c r="E10" s="15" t="s">
        <v>11</v>
      </c>
      <c r="F10" s="13" t="s">
        <v>104</v>
      </c>
      <c r="G10" s="119" t="s">
        <v>374</v>
      </c>
      <c r="H10" s="116">
        <v>41428</v>
      </c>
      <c r="I10" s="13" t="s">
        <v>406</v>
      </c>
      <c r="J10" s="109">
        <v>230000</v>
      </c>
      <c r="K10" s="443">
        <v>8000</v>
      </c>
      <c r="L10" s="356">
        <v>110000</v>
      </c>
    </row>
    <row r="11" spans="1:15" ht="32.25" hidden="1" customHeight="1" x14ac:dyDescent="0.4">
      <c r="A11" s="13">
        <v>9</v>
      </c>
      <c r="B11" s="155">
        <v>70</v>
      </c>
      <c r="C11" s="14" t="s">
        <v>631</v>
      </c>
      <c r="D11" s="14"/>
      <c r="E11" s="15" t="s">
        <v>9</v>
      </c>
      <c r="F11" s="13" t="s">
        <v>135</v>
      </c>
      <c r="G11" s="142" t="s">
        <v>1101</v>
      </c>
      <c r="H11" s="116">
        <v>41505</v>
      </c>
      <c r="I11" s="13">
        <v>2002.07</v>
      </c>
      <c r="J11" s="109">
        <v>630000</v>
      </c>
      <c r="K11" s="443">
        <v>14000</v>
      </c>
      <c r="L11" s="505">
        <v>250000</v>
      </c>
    </row>
    <row r="12" spans="1:15" ht="32.25" hidden="1" customHeight="1" x14ac:dyDescent="0.4">
      <c r="A12" s="13">
        <v>10</v>
      </c>
      <c r="B12" s="155">
        <v>74</v>
      </c>
      <c r="C12" s="120" t="s">
        <v>1097</v>
      </c>
      <c r="D12" s="120"/>
      <c r="E12" s="120" t="s">
        <v>11</v>
      </c>
      <c r="F12" s="120" t="s">
        <v>105</v>
      </c>
      <c r="G12" s="133" t="s">
        <v>212</v>
      </c>
      <c r="H12" s="120" t="s">
        <v>314</v>
      </c>
      <c r="I12" s="444" t="s">
        <v>966</v>
      </c>
      <c r="J12" s="109">
        <v>250000</v>
      </c>
      <c r="K12" s="443">
        <v>6000</v>
      </c>
      <c r="L12" s="518">
        <v>130000</v>
      </c>
    </row>
    <row r="13" spans="1:15" ht="32.25" customHeight="1" x14ac:dyDescent="0.4">
      <c r="A13" s="13">
        <v>11</v>
      </c>
      <c r="B13" s="5">
        <v>87</v>
      </c>
      <c r="C13" s="7" t="s">
        <v>1086</v>
      </c>
      <c r="D13" s="7" t="s">
        <v>1087</v>
      </c>
      <c r="E13" s="120" t="s">
        <v>11</v>
      </c>
      <c r="F13" s="120" t="s">
        <v>105</v>
      </c>
      <c r="G13" s="133" t="s">
        <v>1188</v>
      </c>
      <c r="H13" s="120" t="s">
        <v>315</v>
      </c>
      <c r="I13" s="13" t="s">
        <v>385</v>
      </c>
      <c r="J13" s="109">
        <v>250000</v>
      </c>
      <c r="K13" s="443">
        <v>6000</v>
      </c>
      <c r="L13" s="397">
        <v>150000</v>
      </c>
    </row>
    <row r="14" spans="1:15" ht="32.25" hidden="1" customHeight="1" x14ac:dyDescent="0.4">
      <c r="A14" s="13">
        <v>12</v>
      </c>
      <c r="B14" s="155">
        <v>88</v>
      </c>
      <c r="C14" s="7" t="s">
        <v>1086</v>
      </c>
      <c r="D14" s="7" t="s">
        <v>1610</v>
      </c>
      <c r="E14" s="15" t="s">
        <v>11</v>
      </c>
      <c r="F14" s="13" t="s">
        <v>104</v>
      </c>
      <c r="G14" s="119" t="s">
        <v>176</v>
      </c>
      <c r="H14" s="116">
        <v>41652</v>
      </c>
      <c r="I14" s="13" t="s">
        <v>395</v>
      </c>
      <c r="J14" s="109">
        <v>270000</v>
      </c>
      <c r="K14" s="443">
        <v>6000</v>
      </c>
    </row>
    <row r="15" spans="1:15" ht="32.25" hidden="1" customHeight="1" x14ac:dyDescent="0.4">
      <c r="A15" s="13">
        <v>13</v>
      </c>
      <c r="B15" s="155">
        <v>89</v>
      </c>
      <c r="C15" s="15" t="s">
        <v>1480</v>
      </c>
      <c r="D15" s="7" t="s">
        <v>1087</v>
      </c>
      <c r="E15" s="15" t="s">
        <v>14</v>
      </c>
      <c r="F15" s="13" t="s">
        <v>104</v>
      </c>
      <c r="G15" s="119" t="s">
        <v>361</v>
      </c>
      <c r="H15" s="116">
        <v>41661</v>
      </c>
      <c r="I15" s="13" t="s">
        <v>396</v>
      </c>
      <c r="J15" s="109">
        <v>260000</v>
      </c>
      <c r="K15" s="443">
        <v>7000</v>
      </c>
      <c r="L15" s="397">
        <v>140000</v>
      </c>
    </row>
    <row r="16" spans="1:15" ht="32.25" hidden="1" customHeight="1" x14ac:dyDescent="0.4">
      <c r="A16" s="13">
        <v>14</v>
      </c>
      <c r="B16" s="155">
        <v>98</v>
      </c>
      <c r="C16" s="14" t="s">
        <v>831</v>
      </c>
      <c r="D16" s="14" t="s">
        <v>1098</v>
      </c>
      <c r="E16" s="14" t="s">
        <v>16</v>
      </c>
      <c r="F16" s="14"/>
      <c r="G16" s="137" t="s">
        <v>289</v>
      </c>
      <c r="H16" s="14" t="s">
        <v>290</v>
      </c>
      <c r="I16" s="13" t="s">
        <v>399</v>
      </c>
      <c r="J16" s="109">
        <v>200000</v>
      </c>
      <c r="K16" s="443">
        <v>7000</v>
      </c>
      <c r="L16" s="356">
        <v>100000</v>
      </c>
    </row>
    <row r="17" spans="1:12" ht="32.25" hidden="1" customHeight="1" x14ac:dyDescent="0.4">
      <c r="A17" s="13">
        <v>15</v>
      </c>
      <c r="B17" s="455">
        <v>123</v>
      </c>
      <c r="C17" s="4" t="s">
        <v>1099</v>
      </c>
      <c r="D17" s="493" t="s">
        <v>1095</v>
      </c>
      <c r="E17" s="120" t="s">
        <v>14</v>
      </c>
      <c r="F17" s="120" t="s">
        <v>105</v>
      </c>
      <c r="G17" s="133" t="s">
        <v>301</v>
      </c>
      <c r="H17" s="120" t="s">
        <v>302</v>
      </c>
      <c r="I17" s="13" t="s">
        <v>403</v>
      </c>
      <c r="J17" s="109">
        <v>510000</v>
      </c>
      <c r="K17" s="443">
        <v>10000</v>
      </c>
      <c r="L17" s="356">
        <v>370000</v>
      </c>
    </row>
    <row r="18" spans="1:12" ht="32.25" hidden="1" customHeight="1" x14ac:dyDescent="0.4">
      <c r="A18" s="13">
        <v>16</v>
      </c>
      <c r="B18" s="455">
        <v>124</v>
      </c>
      <c r="C18" s="4" t="s">
        <v>1099</v>
      </c>
      <c r="D18" s="493" t="s">
        <v>1098</v>
      </c>
      <c r="E18" s="120" t="s">
        <v>14</v>
      </c>
      <c r="F18" s="120" t="s">
        <v>105</v>
      </c>
      <c r="G18" s="133" t="s">
        <v>303</v>
      </c>
      <c r="H18" s="120" t="s">
        <v>304</v>
      </c>
      <c r="I18" s="13" t="s">
        <v>400</v>
      </c>
      <c r="J18" s="109">
        <v>540000</v>
      </c>
      <c r="K18" s="443">
        <v>10000</v>
      </c>
      <c r="L18" s="356">
        <v>420000</v>
      </c>
    </row>
    <row r="19" spans="1:12" ht="32.25" hidden="1" customHeight="1" x14ac:dyDescent="0.4">
      <c r="A19" s="13">
        <v>17</v>
      </c>
      <c r="B19" s="455">
        <v>125</v>
      </c>
      <c r="C19" s="4" t="s">
        <v>1099</v>
      </c>
      <c r="D19" s="493" t="s">
        <v>1098</v>
      </c>
      <c r="E19" s="120" t="s">
        <v>14</v>
      </c>
      <c r="F19" s="120" t="s">
        <v>105</v>
      </c>
      <c r="G19" s="133" t="s">
        <v>305</v>
      </c>
      <c r="H19" s="120" t="s">
        <v>304</v>
      </c>
      <c r="I19" s="13" t="s">
        <v>404</v>
      </c>
      <c r="J19" s="109">
        <v>540000</v>
      </c>
      <c r="K19" s="443">
        <v>10000</v>
      </c>
      <c r="L19" s="356">
        <v>420000</v>
      </c>
    </row>
    <row r="20" spans="1:12" ht="32.25" hidden="1" customHeight="1" x14ac:dyDescent="0.4">
      <c r="A20" s="13">
        <v>18</v>
      </c>
      <c r="B20" s="455">
        <v>127</v>
      </c>
      <c r="C20" s="4" t="s">
        <v>1099</v>
      </c>
      <c r="D20" s="493" t="s">
        <v>1098</v>
      </c>
      <c r="E20" s="120" t="s">
        <v>14</v>
      </c>
      <c r="F20" s="120" t="s">
        <v>105</v>
      </c>
      <c r="G20" s="133" t="s">
        <v>309</v>
      </c>
      <c r="H20" s="120" t="s">
        <v>310</v>
      </c>
      <c r="I20" s="13" t="s">
        <v>404</v>
      </c>
      <c r="J20" s="109">
        <v>510000</v>
      </c>
      <c r="K20" s="443">
        <v>10000</v>
      </c>
      <c r="L20" s="356">
        <v>395000</v>
      </c>
    </row>
    <row r="21" spans="1:12" ht="32.25" hidden="1" customHeight="1" x14ac:dyDescent="0.4">
      <c r="A21" s="13">
        <v>19</v>
      </c>
      <c r="B21" s="155">
        <v>138</v>
      </c>
      <c r="C21" s="3" t="s">
        <v>631</v>
      </c>
      <c r="D21" s="3"/>
      <c r="E21" s="18" t="s">
        <v>11</v>
      </c>
      <c r="F21" s="17" t="s">
        <v>343</v>
      </c>
      <c r="G21" s="19" t="s">
        <v>411</v>
      </c>
      <c r="H21" s="32" t="s">
        <v>412</v>
      </c>
      <c r="I21" s="13" t="s">
        <v>398</v>
      </c>
      <c r="J21" s="110">
        <v>150000</v>
      </c>
      <c r="K21" s="443">
        <v>7000</v>
      </c>
      <c r="L21" s="520">
        <v>100000</v>
      </c>
    </row>
    <row r="22" spans="1:12" ht="32.25" hidden="1" customHeight="1" x14ac:dyDescent="0.4">
      <c r="A22" s="13">
        <v>20</v>
      </c>
      <c r="B22" s="155">
        <v>152</v>
      </c>
      <c r="C22" s="33" t="s">
        <v>831</v>
      </c>
      <c r="D22" s="33" t="s">
        <v>1098</v>
      </c>
      <c r="E22" s="4" t="s">
        <v>11</v>
      </c>
      <c r="F22" s="5" t="s">
        <v>105</v>
      </c>
      <c r="G22" s="36" t="s">
        <v>754</v>
      </c>
      <c r="H22" s="34" t="s">
        <v>492</v>
      </c>
      <c r="I22" s="35" t="s">
        <v>755</v>
      </c>
      <c r="J22" s="110">
        <v>210000</v>
      </c>
      <c r="K22" s="443">
        <v>8000</v>
      </c>
      <c r="L22" s="356">
        <v>85000</v>
      </c>
    </row>
    <row r="23" spans="1:12" ht="32.25" customHeight="1" x14ac:dyDescent="0.4">
      <c r="A23" s="13">
        <v>21</v>
      </c>
      <c r="B23" s="152">
        <v>159</v>
      </c>
      <c r="C23" s="33" t="s">
        <v>1086</v>
      </c>
      <c r="D23" s="33" t="s">
        <v>1087</v>
      </c>
      <c r="E23" s="5" t="s">
        <v>14</v>
      </c>
      <c r="F23" s="4" t="s">
        <v>105</v>
      </c>
      <c r="G23" s="124" t="s">
        <v>538</v>
      </c>
      <c r="H23" s="4" t="s">
        <v>539</v>
      </c>
      <c r="I23" s="13" t="s">
        <v>553</v>
      </c>
      <c r="J23" s="110">
        <v>380000</v>
      </c>
      <c r="K23" s="443">
        <v>8000</v>
      </c>
      <c r="L23" s="397">
        <v>270000</v>
      </c>
    </row>
    <row r="24" spans="1:12" ht="32.25" hidden="1" customHeight="1" x14ac:dyDescent="0.4">
      <c r="A24" s="13">
        <v>22</v>
      </c>
      <c r="B24" s="5">
        <v>201</v>
      </c>
      <c r="C24" s="33" t="s">
        <v>831</v>
      </c>
      <c r="D24" s="33" t="s">
        <v>1098</v>
      </c>
      <c r="E24" s="4" t="s">
        <v>11</v>
      </c>
      <c r="F24" s="5" t="s">
        <v>105</v>
      </c>
      <c r="G24" s="36" t="s">
        <v>725</v>
      </c>
      <c r="H24" s="34" t="s">
        <v>723</v>
      </c>
      <c r="I24" s="108"/>
      <c r="J24" s="110">
        <v>210000</v>
      </c>
      <c r="K24" s="443">
        <v>8000</v>
      </c>
      <c r="L24" s="356">
        <v>80000</v>
      </c>
    </row>
    <row r="25" spans="1:12" ht="32.25" customHeight="1" x14ac:dyDescent="0.4">
      <c r="A25" s="13">
        <v>23</v>
      </c>
      <c r="B25" s="155">
        <v>202</v>
      </c>
      <c r="C25" s="33" t="s">
        <v>1086</v>
      </c>
      <c r="D25" s="13" t="s">
        <v>1447</v>
      </c>
      <c r="E25" s="4" t="s">
        <v>11</v>
      </c>
      <c r="F25" s="5" t="s">
        <v>105</v>
      </c>
      <c r="G25" s="36" t="s">
        <v>851</v>
      </c>
      <c r="H25" s="34" t="s">
        <v>1479</v>
      </c>
      <c r="I25" s="33">
        <v>2000.08</v>
      </c>
      <c r="J25" s="108">
        <v>150000</v>
      </c>
      <c r="K25" s="443">
        <v>6000</v>
      </c>
      <c r="L25" s="397"/>
    </row>
    <row r="26" spans="1:12" ht="32.25" hidden="1" customHeight="1" x14ac:dyDescent="0.4">
      <c r="A26" s="13">
        <v>24</v>
      </c>
      <c r="B26" s="5">
        <v>207</v>
      </c>
      <c r="C26" s="33" t="s">
        <v>831</v>
      </c>
      <c r="D26" s="33" t="s">
        <v>1098</v>
      </c>
      <c r="E26" s="4" t="s">
        <v>776</v>
      </c>
      <c r="F26" s="5" t="s">
        <v>773</v>
      </c>
      <c r="G26" s="36" t="s">
        <v>777</v>
      </c>
      <c r="H26" s="34" t="s">
        <v>778</v>
      </c>
      <c r="I26" s="188"/>
      <c r="J26" s="110">
        <v>210000</v>
      </c>
      <c r="K26" s="443">
        <v>8000</v>
      </c>
      <c r="L26" s="356">
        <v>85000</v>
      </c>
    </row>
    <row r="27" spans="1:12" ht="32.25" hidden="1" customHeight="1" x14ac:dyDescent="0.4">
      <c r="A27" s="13">
        <v>25</v>
      </c>
      <c r="B27" s="5">
        <v>208</v>
      </c>
      <c r="C27" s="4" t="s">
        <v>1096</v>
      </c>
      <c r="D27" s="4" t="s">
        <v>1091</v>
      </c>
      <c r="E27" s="4" t="s">
        <v>772</v>
      </c>
      <c r="F27" s="5" t="s">
        <v>105</v>
      </c>
      <c r="G27" s="36" t="s">
        <v>780</v>
      </c>
      <c r="H27" s="34" t="s">
        <v>779</v>
      </c>
      <c r="I27" s="188" t="s">
        <v>781</v>
      </c>
      <c r="J27" s="110">
        <v>580000</v>
      </c>
      <c r="K27" s="443">
        <v>10000</v>
      </c>
      <c r="L27" s="424">
        <v>450000</v>
      </c>
    </row>
    <row r="28" spans="1:12" ht="32.25" hidden="1" customHeight="1" x14ac:dyDescent="0.4">
      <c r="A28" s="13">
        <v>26</v>
      </c>
      <c r="B28" s="155">
        <v>213</v>
      </c>
      <c r="C28" s="4" t="s">
        <v>1096</v>
      </c>
      <c r="D28" s="4" t="s">
        <v>1251</v>
      </c>
      <c r="E28" s="4" t="s">
        <v>9</v>
      </c>
      <c r="F28" s="4" t="s">
        <v>836</v>
      </c>
      <c r="G28" s="36" t="s">
        <v>835</v>
      </c>
      <c r="H28" s="34" t="s">
        <v>785</v>
      </c>
      <c r="I28" s="188" t="s">
        <v>837</v>
      </c>
      <c r="J28" s="110">
        <v>850000</v>
      </c>
      <c r="K28" s="443">
        <v>10000</v>
      </c>
      <c r="L28" s="424">
        <v>630000</v>
      </c>
    </row>
    <row r="29" spans="1:12" ht="32.25" customHeight="1" x14ac:dyDescent="0.4">
      <c r="A29" s="13">
        <v>27</v>
      </c>
      <c r="B29" s="462">
        <v>215</v>
      </c>
      <c r="C29" s="33" t="s">
        <v>1086</v>
      </c>
      <c r="D29" s="33" t="s">
        <v>1087</v>
      </c>
      <c r="E29" s="4" t="s">
        <v>240</v>
      </c>
      <c r="F29" s="5" t="s">
        <v>235</v>
      </c>
      <c r="G29" s="36" t="s">
        <v>1187</v>
      </c>
      <c r="H29" s="34" t="s">
        <v>824</v>
      </c>
      <c r="I29" s="188" t="s">
        <v>839</v>
      </c>
      <c r="J29" s="110">
        <v>570000</v>
      </c>
      <c r="K29" s="443">
        <v>8000</v>
      </c>
      <c r="L29" s="397">
        <v>470000</v>
      </c>
    </row>
    <row r="30" spans="1:12" ht="32.25" customHeight="1" x14ac:dyDescent="0.4">
      <c r="A30" s="13">
        <v>28</v>
      </c>
      <c r="B30" s="462">
        <v>219</v>
      </c>
      <c r="C30" s="33" t="s">
        <v>1086</v>
      </c>
      <c r="D30" s="33" t="s">
        <v>1087</v>
      </c>
      <c r="E30" s="4" t="s">
        <v>240</v>
      </c>
      <c r="F30" s="5" t="s">
        <v>235</v>
      </c>
      <c r="G30" s="36" t="s">
        <v>1185</v>
      </c>
      <c r="H30" s="34" t="s">
        <v>884</v>
      </c>
      <c r="I30" s="188"/>
      <c r="J30" s="110">
        <v>230000</v>
      </c>
      <c r="K30" s="443">
        <v>5000</v>
      </c>
      <c r="L30" s="397">
        <v>110000</v>
      </c>
    </row>
    <row r="31" spans="1:12" s="141" customFormat="1" ht="32.25" hidden="1" customHeight="1" x14ac:dyDescent="0.4">
      <c r="A31" s="13">
        <v>29</v>
      </c>
      <c r="B31" s="155">
        <v>223</v>
      </c>
      <c r="C31" s="172" t="s">
        <v>1096</v>
      </c>
      <c r="D31" s="172" t="s">
        <v>1092</v>
      </c>
      <c r="E31" s="172" t="s">
        <v>9</v>
      </c>
      <c r="F31" s="155" t="s">
        <v>105</v>
      </c>
      <c r="G31" s="180" t="s">
        <v>829</v>
      </c>
      <c r="H31" s="177" t="s">
        <v>830</v>
      </c>
      <c r="I31" s="428" t="s">
        <v>949</v>
      </c>
      <c r="J31" s="131">
        <v>410000</v>
      </c>
      <c r="K31" s="443">
        <v>8000</v>
      </c>
      <c r="L31" s="521">
        <v>280000</v>
      </c>
    </row>
    <row r="32" spans="1:12" s="2" customFormat="1" ht="32.25" hidden="1" customHeight="1" x14ac:dyDescent="0.4">
      <c r="A32" s="13">
        <v>30</v>
      </c>
      <c r="B32" s="5">
        <v>224</v>
      </c>
      <c r="C32" s="33" t="s">
        <v>1096</v>
      </c>
      <c r="D32" s="33" t="s">
        <v>1093</v>
      </c>
      <c r="E32" s="4" t="s">
        <v>483</v>
      </c>
      <c r="F32" s="5" t="s">
        <v>270</v>
      </c>
      <c r="G32" s="36" t="s">
        <v>852</v>
      </c>
      <c r="H32" s="34" t="s">
        <v>844</v>
      </c>
      <c r="I32" s="188" t="s">
        <v>853</v>
      </c>
      <c r="J32" s="108">
        <v>450000</v>
      </c>
      <c r="K32" s="443">
        <v>10000</v>
      </c>
      <c r="L32" s="111">
        <v>280000</v>
      </c>
    </row>
    <row r="33" spans="1:12" ht="32.25" hidden="1" customHeight="1" x14ac:dyDescent="0.4">
      <c r="A33" s="13">
        <v>31</v>
      </c>
      <c r="B33" s="5">
        <v>226</v>
      </c>
      <c r="C33" s="33" t="s">
        <v>695</v>
      </c>
      <c r="D33" s="33" t="s">
        <v>1087</v>
      </c>
      <c r="E33" s="172" t="s">
        <v>240</v>
      </c>
      <c r="F33" s="155" t="s">
        <v>855</v>
      </c>
      <c r="G33" s="180" t="s">
        <v>860</v>
      </c>
      <c r="H33" s="177" t="s">
        <v>856</v>
      </c>
      <c r="I33" s="361" t="s">
        <v>863</v>
      </c>
      <c r="J33" s="110">
        <v>200000</v>
      </c>
      <c r="K33" s="443">
        <v>5000</v>
      </c>
      <c r="L33" s="397">
        <v>70000</v>
      </c>
    </row>
    <row r="34" spans="1:12" ht="32.25" hidden="1" customHeight="1" x14ac:dyDescent="0.4">
      <c r="A34" s="13">
        <v>32</v>
      </c>
      <c r="B34" s="5">
        <v>229</v>
      </c>
      <c r="C34" s="33" t="s">
        <v>1096</v>
      </c>
      <c r="D34" s="33" t="s">
        <v>1094</v>
      </c>
      <c r="E34" s="4" t="s">
        <v>633</v>
      </c>
      <c r="F34" s="5" t="s">
        <v>103</v>
      </c>
      <c r="G34" s="36" t="s">
        <v>877</v>
      </c>
      <c r="H34" s="34" t="s">
        <v>878</v>
      </c>
      <c r="I34" s="188">
        <v>2013.02</v>
      </c>
      <c r="J34" s="110">
        <v>570000</v>
      </c>
      <c r="K34" s="443">
        <v>14000</v>
      </c>
      <c r="L34" s="111">
        <v>400000</v>
      </c>
    </row>
    <row r="35" spans="1:12" ht="32.25" hidden="1" customHeight="1" x14ac:dyDescent="0.4">
      <c r="A35" s="13">
        <v>33</v>
      </c>
      <c r="B35" s="155">
        <v>235</v>
      </c>
      <c r="C35" s="33" t="s">
        <v>1096</v>
      </c>
      <c r="D35" s="4" t="s">
        <v>1090</v>
      </c>
      <c r="E35" s="4" t="s">
        <v>483</v>
      </c>
      <c r="F35" s="155" t="s">
        <v>105</v>
      </c>
      <c r="G35" s="180" t="s">
        <v>898</v>
      </c>
      <c r="H35" s="177" t="s">
        <v>876</v>
      </c>
      <c r="I35" s="385" t="s">
        <v>899</v>
      </c>
      <c r="J35" s="109">
        <v>430000</v>
      </c>
      <c r="K35" s="443">
        <v>11000</v>
      </c>
      <c r="L35" s="111">
        <v>300000</v>
      </c>
    </row>
    <row r="36" spans="1:12" ht="32.25" hidden="1" customHeight="1" x14ac:dyDescent="0.4">
      <c r="A36" s="13">
        <v>34</v>
      </c>
      <c r="B36" s="155">
        <v>238</v>
      </c>
      <c r="C36" s="33" t="s">
        <v>1383</v>
      </c>
      <c r="D36" s="33"/>
      <c r="E36" s="4" t="s">
        <v>846</v>
      </c>
      <c r="F36" s="5" t="s">
        <v>657</v>
      </c>
      <c r="G36" s="36" t="s">
        <v>1106</v>
      </c>
      <c r="H36" s="34" t="s">
        <v>933</v>
      </c>
      <c r="I36" s="123" t="s">
        <v>935</v>
      </c>
      <c r="J36" s="109">
        <v>820000</v>
      </c>
      <c r="K36" s="443">
        <v>16500</v>
      </c>
      <c r="L36" s="522">
        <v>630000</v>
      </c>
    </row>
    <row r="37" spans="1:12" s="2" customFormat="1" ht="32.25" customHeight="1" x14ac:dyDescent="0.4">
      <c r="A37" s="13">
        <v>35</v>
      </c>
      <c r="B37" s="462">
        <v>242</v>
      </c>
      <c r="C37" s="33" t="s">
        <v>1086</v>
      </c>
      <c r="D37" s="33" t="s">
        <v>1089</v>
      </c>
      <c r="E37" s="4" t="s">
        <v>483</v>
      </c>
      <c r="F37" s="5" t="s">
        <v>270</v>
      </c>
      <c r="G37" s="36" t="s">
        <v>1186</v>
      </c>
      <c r="H37" s="6" t="s">
        <v>943</v>
      </c>
      <c r="I37" s="123" t="s">
        <v>944</v>
      </c>
      <c r="J37" s="108">
        <v>600000</v>
      </c>
      <c r="K37" s="443">
        <v>11000</v>
      </c>
      <c r="L37" s="397">
        <v>470000</v>
      </c>
    </row>
    <row r="38" spans="1:12" s="2" customFormat="1" ht="32.25" hidden="1" customHeight="1" x14ac:dyDescent="0.4">
      <c r="A38" s="13">
        <v>36</v>
      </c>
      <c r="B38" s="455">
        <v>245</v>
      </c>
      <c r="C38" s="4" t="s">
        <v>1099</v>
      </c>
      <c r="D38" s="4" t="s">
        <v>1095</v>
      </c>
      <c r="E38" s="4" t="s">
        <v>991</v>
      </c>
      <c r="F38" s="5" t="s">
        <v>992</v>
      </c>
      <c r="G38" s="36" t="s">
        <v>993</v>
      </c>
      <c r="H38" s="34" t="s">
        <v>994</v>
      </c>
      <c r="I38" s="188" t="s">
        <v>995</v>
      </c>
      <c r="J38" s="108">
        <v>600000</v>
      </c>
      <c r="K38" s="443">
        <v>11000</v>
      </c>
      <c r="L38" s="356">
        <v>440000</v>
      </c>
    </row>
    <row r="39" spans="1:12" s="2" customFormat="1" ht="32.25" customHeight="1" x14ac:dyDescent="0.4">
      <c r="A39" s="13">
        <v>37</v>
      </c>
      <c r="B39" s="5">
        <v>248</v>
      </c>
      <c r="C39" s="33" t="s">
        <v>1190</v>
      </c>
      <c r="D39" s="4" t="s">
        <v>1191</v>
      </c>
      <c r="E39" s="4" t="s">
        <v>240</v>
      </c>
      <c r="F39" s="5" t="s">
        <v>105</v>
      </c>
      <c r="G39" s="36" t="s">
        <v>986</v>
      </c>
      <c r="H39" s="6" t="s">
        <v>987</v>
      </c>
      <c r="I39" s="123" t="s">
        <v>988</v>
      </c>
      <c r="J39" s="109">
        <v>710000</v>
      </c>
      <c r="K39" s="443">
        <v>10000</v>
      </c>
      <c r="L39" s="368">
        <v>510000</v>
      </c>
    </row>
    <row r="40" spans="1:12" ht="32.25" hidden="1" customHeight="1" x14ac:dyDescent="0.4">
      <c r="A40" s="13">
        <v>38</v>
      </c>
      <c r="B40" s="5">
        <v>268</v>
      </c>
      <c r="C40" s="4" t="s">
        <v>1376</v>
      </c>
      <c r="D40" s="5"/>
      <c r="E40" s="4" t="s">
        <v>490</v>
      </c>
      <c r="F40" s="5" t="s">
        <v>105</v>
      </c>
      <c r="G40" s="36" t="s">
        <v>1212</v>
      </c>
      <c r="H40" s="34" t="s">
        <v>1204</v>
      </c>
      <c r="I40" s="123"/>
      <c r="J40" s="108">
        <v>210000</v>
      </c>
      <c r="K40" s="443">
        <v>8000</v>
      </c>
      <c r="L40" s="511">
        <v>50000</v>
      </c>
    </row>
    <row r="41" spans="1:12" ht="32.25" customHeight="1" x14ac:dyDescent="0.4">
      <c r="A41" s="13">
        <v>39</v>
      </c>
      <c r="B41" s="5">
        <v>271</v>
      </c>
      <c r="C41" s="33" t="s">
        <v>1190</v>
      </c>
      <c r="D41" s="33" t="s">
        <v>1253</v>
      </c>
      <c r="E41" s="4" t="s">
        <v>1736</v>
      </c>
      <c r="F41" s="5" t="s">
        <v>235</v>
      </c>
      <c r="G41" s="180" t="s">
        <v>1254</v>
      </c>
      <c r="H41" s="173" t="s">
        <v>1255</v>
      </c>
      <c r="I41" s="176">
        <v>2000</v>
      </c>
      <c r="J41" s="109">
        <v>230000</v>
      </c>
      <c r="K41" s="443">
        <v>5000</v>
      </c>
      <c r="L41" s="397">
        <v>80000</v>
      </c>
    </row>
    <row r="42" spans="1:12" ht="32.25" hidden="1" customHeight="1" x14ac:dyDescent="0.4">
      <c r="A42" s="13">
        <v>40</v>
      </c>
      <c r="B42" s="5">
        <v>275</v>
      </c>
      <c r="C42" s="33" t="s">
        <v>1252</v>
      </c>
      <c r="D42" s="33"/>
      <c r="E42" s="4" t="s">
        <v>490</v>
      </c>
      <c r="F42" s="5" t="s">
        <v>105</v>
      </c>
      <c r="G42" s="492" t="s">
        <v>1256</v>
      </c>
      <c r="H42" s="7" t="s">
        <v>1257</v>
      </c>
      <c r="I42" s="123">
        <v>1991</v>
      </c>
      <c r="J42" s="109">
        <v>270000</v>
      </c>
      <c r="K42" s="443">
        <v>6000</v>
      </c>
      <c r="L42" s="518">
        <v>110000</v>
      </c>
    </row>
    <row r="43" spans="1:12" ht="32.25" customHeight="1" x14ac:dyDescent="0.4">
      <c r="A43" s="13">
        <v>41</v>
      </c>
      <c r="B43" s="5">
        <v>277</v>
      </c>
      <c r="C43" s="33" t="s">
        <v>1086</v>
      </c>
      <c r="D43" s="33" t="s">
        <v>1253</v>
      </c>
      <c r="E43" s="4" t="s">
        <v>11</v>
      </c>
      <c r="F43" s="5" t="s">
        <v>105</v>
      </c>
      <c r="G43" s="36" t="s">
        <v>1228</v>
      </c>
      <c r="H43" s="34" t="s">
        <v>1229</v>
      </c>
      <c r="I43" s="394" t="s">
        <v>966</v>
      </c>
      <c r="J43" s="108">
        <v>230000</v>
      </c>
      <c r="K43" s="443">
        <v>6000</v>
      </c>
      <c r="L43" s="397">
        <v>100000</v>
      </c>
    </row>
    <row r="44" spans="1:12" ht="32.25" hidden="1" customHeight="1" x14ac:dyDescent="0.4">
      <c r="A44" s="13">
        <v>42</v>
      </c>
      <c r="B44" s="5">
        <v>297</v>
      </c>
      <c r="C44" s="33" t="s">
        <v>1086</v>
      </c>
      <c r="D44" s="33" t="s">
        <v>1253</v>
      </c>
      <c r="E44" s="4" t="s">
        <v>11</v>
      </c>
      <c r="F44" s="5" t="s">
        <v>1411</v>
      </c>
      <c r="G44" s="36" t="s">
        <v>1412</v>
      </c>
      <c r="H44" s="34" t="s">
        <v>1410</v>
      </c>
      <c r="I44" s="394">
        <v>2008.04</v>
      </c>
      <c r="J44" s="108">
        <v>190000</v>
      </c>
      <c r="K44" s="443">
        <v>6000</v>
      </c>
      <c r="L44" s="397"/>
    </row>
    <row r="45" spans="1:12" ht="32.25" hidden="1" customHeight="1" x14ac:dyDescent="0.4">
      <c r="A45" s="13">
        <v>43</v>
      </c>
      <c r="B45" s="5">
        <v>305</v>
      </c>
      <c r="C45" s="33" t="s">
        <v>1086</v>
      </c>
      <c r="D45" s="13" t="s">
        <v>1447</v>
      </c>
      <c r="E45" s="172" t="s">
        <v>240</v>
      </c>
      <c r="F45" s="5" t="s">
        <v>1301</v>
      </c>
      <c r="G45" s="36" t="s">
        <v>1448</v>
      </c>
      <c r="H45" s="34" t="s">
        <v>1449</v>
      </c>
      <c r="I45" s="394">
        <v>2014</v>
      </c>
      <c r="J45" s="108">
        <v>380000</v>
      </c>
      <c r="K45" s="443">
        <v>7000</v>
      </c>
      <c r="L45" s="397">
        <v>280000</v>
      </c>
    </row>
    <row r="46" spans="1:12" ht="32.25" hidden="1" customHeight="1" x14ac:dyDescent="0.4">
      <c r="A46" s="13">
        <v>44</v>
      </c>
      <c r="B46" s="5">
        <v>306</v>
      </c>
      <c r="C46" s="33" t="s">
        <v>1086</v>
      </c>
      <c r="D46" s="13" t="s">
        <v>1447</v>
      </c>
      <c r="E46" s="172" t="s">
        <v>240</v>
      </c>
      <c r="F46" s="5" t="s">
        <v>103</v>
      </c>
      <c r="G46" s="36" t="s">
        <v>1451</v>
      </c>
      <c r="H46" s="34" t="s">
        <v>1449</v>
      </c>
      <c r="I46" s="394">
        <v>2010.08</v>
      </c>
      <c r="J46" s="108">
        <v>280000</v>
      </c>
      <c r="K46" s="443">
        <v>7000</v>
      </c>
      <c r="L46" s="546"/>
    </row>
    <row r="47" spans="1:12" ht="32.25" customHeight="1" x14ac:dyDescent="0.4">
      <c r="A47" s="13">
        <v>45</v>
      </c>
      <c r="B47" s="5">
        <v>310</v>
      </c>
      <c r="C47" s="33" t="s">
        <v>1086</v>
      </c>
      <c r="D47" s="13" t="s">
        <v>1447</v>
      </c>
      <c r="E47" s="172" t="s">
        <v>656</v>
      </c>
      <c r="F47" s="5" t="s">
        <v>1169</v>
      </c>
      <c r="G47" s="36" t="s">
        <v>1549</v>
      </c>
      <c r="H47" s="34" t="s">
        <v>1550</v>
      </c>
      <c r="I47" s="394">
        <v>2010.05</v>
      </c>
      <c r="J47" s="108">
        <v>180000</v>
      </c>
      <c r="K47" s="443">
        <v>5000</v>
      </c>
      <c r="L47" s="546"/>
    </row>
    <row r="48" spans="1:12" ht="32.25" hidden="1" customHeight="1" x14ac:dyDescent="0.4">
      <c r="A48" s="13">
        <v>46</v>
      </c>
      <c r="B48" s="5">
        <v>313</v>
      </c>
      <c r="C48" s="33" t="s">
        <v>1086</v>
      </c>
      <c r="D48" s="13" t="s">
        <v>1447</v>
      </c>
      <c r="E48" s="172" t="s">
        <v>656</v>
      </c>
      <c r="F48" s="5" t="s">
        <v>1536</v>
      </c>
      <c r="G48" s="36" t="s">
        <v>1551</v>
      </c>
      <c r="H48" s="34" t="s">
        <v>1552</v>
      </c>
      <c r="I48" s="394">
        <v>2014.07</v>
      </c>
      <c r="J48" s="108">
        <v>320000</v>
      </c>
      <c r="K48" s="443">
        <v>7000</v>
      </c>
      <c r="L48" s="546"/>
    </row>
    <row r="49" spans="1:18" ht="32.25" hidden="1" customHeight="1" x14ac:dyDescent="0.4">
      <c r="A49" s="13">
        <v>47</v>
      </c>
      <c r="B49" s="5">
        <v>314</v>
      </c>
      <c r="C49" s="33" t="s">
        <v>1252</v>
      </c>
      <c r="D49" s="519"/>
      <c r="E49" s="172" t="s">
        <v>656</v>
      </c>
      <c r="F49" s="5" t="s">
        <v>1169</v>
      </c>
      <c r="G49" s="36" t="s">
        <v>1546</v>
      </c>
      <c r="H49" s="34" t="s">
        <v>1537</v>
      </c>
      <c r="I49" s="394">
        <v>1999.11</v>
      </c>
      <c r="J49" s="108">
        <v>250000</v>
      </c>
      <c r="K49" s="443">
        <v>6000</v>
      </c>
      <c r="L49" s="546"/>
    </row>
    <row r="50" spans="1:18" ht="32.25" hidden="1" customHeight="1" x14ac:dyDescent="0.4">
      <c r="A50" s="13">
        <v>48</v>
      </c>
      <c r="B50" s="5">
        <v>321</v>
      </c>
      <c r="C50" s="33" t="s">
        <v>1086</v>
      </c>
      <c r="D50" s="13" t="s">
        <v>1447</v>
      </c>
      <c r="E50" s="172" t="s">
        <v>1611</v>
      </c>
      <c r="F50" s="5" t="s">
        <v>1612</v>
      </c>
      <c r="G50" s="36" t="s">
        <v>1613</v>
      </c>
      <c r="H50" s="34" t="s">
        <v>1614</v>
      </c>
      <c r="I50" s="394">
        <v>2006.11</v>
      </c>
      <c r="J50" s="108">
        <v>250000</v>
      </c>
      <c r="K50" s="443">
        <v>7000</v>
      </c>
      <c r="L50" s="546"/>
    </row>
    <row r="51" spans="1:18" ht="30" hidden="1" customHeight="1" x14ac:dyDescent="0.4">
      <c r="A51" s="442"/>
      <c r="B51" s="319"/>
      <c r="C51" s="4"/>
      <c r="D51" s="4"/>
      <c r="E51" s="5"/>
      <c r="F51" s="4"/>
      <c r="G51" s="124"/>
      <c r="H51" s="4"/>
      <c r="I51" s="346" t="s">
        <v>887</v>
      </c>
      <c r="J51" s="151">
        <f>SUM(J3:J50)</f>
        <v>17490000</v>
      </c>
      <c r="K51" s="151">
        <f>SUM(K3:K50)</f>
        <v>389500</v>
      </c>
    </row>
    <row r="52" spans="1:18" s="149" customFormat="1" ht="32.25" hidden="1" customHeight="1" x14ac:dyDescent="0.4">
      <c r="B52" s="297"/>
      <c r="C52" s="145"/>
      <c r="D52" s="145"/>
      <c r="E52" s="146"/>
      <c r="F52" s="144"/>
      <c r="G52" s="147"/>
      <c r="H52" s="148"/>
      <c r="I52" s="148"/>
      <c r="K52" s="117"/>
      <c r="L52" s="117"/>
      <c r="M52" s="117"/>
      <c r="N52" s="117"/>
      <c r="O52" s="117"/>
      <c r="P52" s="117"/>
      <c r="Q52" s="117"/>
      <c r="R52" s="117"/>
    </row>
    <row r="53" spans="1:18" s="149" customFormat="1" ht="32.25" customHeight="1" x14ac:dyDescent="0.4">
      <c r="B53" s="297"/>
      <c r="C53" s="145"/>
      <c r="D53" s="145"/>
      <c r="E53" s="146"/>
      <c r="F53" s="144"/>
      <c r="G53" s="147"/>
      <c r="H53" s="148"/>
      <c r="I53" s="148"/>
      <c r="K53" s="117"/>
      <c r="L53" s="117"/>
      <c r="M53" s="117"/>
      <c r="N53" s="117"/>
      <c r="O53" s="117"/>
      <c r="P53" s="117"/>
      <c r="Q53" s="117"/>
      <c r="R53" s="117"/>
    </row>
    <row r="54" spans="1:18" s="149" customFormat="1" ht="32.25" customHeight="1" x14ac:dyDescent="0.4">
      <c r="B54" s="297"/>
      <c r="C54" s="145"/>
      <c r="D54" s="145"/>
      <c r="E54" s="146"/>
      <c r="F54" s="144"/>
      <c r="G54" s="147"/>
      <c r="H54" s="148"/>
      <c r="I54" s="148"/>
      <c r="K54" s="117"/>
      <c r="L54" s="117"/>
      <c r="M54" s="117"/>
      <c r="N54" s="117"/>
      <c r="O54" s="117"/>
      <c r="P54" s="117"/>
      <c r="Q54" s="117"/>
      <c r="R54" s="117"/>
    </row>
    <row r="55" spans="1:18" s="149" customFormat="1" ht="32.25" customHeight="1" x14ac:dyDescent="0.4">
      <c r="B55" s="297"/>
      <c r="C55" s="145"/>
      <c r="D55" s="145"/>
      <c r="E55" s="146"/>
      <c r="F55" s="144"/>
      <c r="G55" s="147"/>
      <c r="H55" s="148"/>
      <c r="I55" s="148"/>
      <c r="K55" s="117"/>
      <c r="L55" s="117"/>
      <c r="M55" s="117"/>
      <c r="N55" s="117"/>
      <c r="O55" s="117"/>
      <c r="P55" s="117"/>
      <c r="Q55" s="117"/>
      <c r="R55" s="117"/>
    </row>
    <row r="56" spans="1:18" s="149" customFormat="1" ht="32.25" customHeight="1" x14ac:dyDescent="0.4">
      <c r="B56" s="297"/>
      <c r="C56" s="145"/>
      <c r="D56" s="145"/>
      <c r="E56" s="146"/>
      <c r="F56" s="144"/>
      <c r="G56" s="147"/>
      <c r="H56" s="148"/>
      <c r="I56" s="148"/>
      <c r="K56" s="117"/>
      <c r="L56" s="117"/>
      <c r="M56" s="117"/>
      <c r="N56" s="117"/>
      <c r="O56" s="117"/>
      <c r="P56" s="117"/>
      <c r="Q56" s="117"/>
      <c r="R56" s="117"/>
    </row>
    <row r="57" spans="1:18" s="149" customFormat="1" ht="32.25" customHeight="1" x14ac:dyDescent="0.4">
      <c r="B57" s="297"/>
      <c r="C57" s="145"/>
      <c r="D57" s="145"/>
      <c r="E57" s="146"/>
      <c r="F57" s="144"/>
      <c r="G57" s="147"/>
      <c r="H57" s="148"/>
      <c r="I57" s="148"/>
      <c r="K57" s="117"/>
      <c r="L57" s="117"/>
      <c r="M57" s="117"/>
      <c r="N57" s="117"/>
      <c r="O57" s="117"/>
      <c r="P57" s="117"/>
      <c r="Q57" s="117"/>
      <c r="R57" s="117"/>
    </row>
    <row r="58" spans="1:18" s="149" customFormat="1" ht="32.25" customHeight="1" x14ac:dyDescent="0.4">
      <c r="B58" s="297"/>
      <c r="C58" s="145"/>
      <c r="D58" s="145"/>
      <c r="E58" s="146"/>
      <c r="F58" s="144"/>
      <c r="G58" s="147"/>
      <c r="H58" s="148"/>
      <c r="I58" s="148"/>
      <c r="K58" s="117"/>
      <c r="L58" s="117"/>
      <c r="M58" s="117"/>
      <c r="N58" s="117"/>
      <c r="O58" s="117"/>
      <c r="P58" s="117"/>
      <c r="Q58" s="117"/>
      <c r="R58" s="117"/>
    </row>
    <row r="59" spans="1:18" s="149" customFormat="1" ht="32.25" customHeight="1" x14ac:dyDescent="0.4">
      <c r="B59" s="297"/>
      <c r="C59" s="145"/>
      <c r="D59" s="145"/>
      <c r="E59" s="146"/>
      <c r="F59" s="144"/>
      <c r="G59" s="147"/>
      <c r="H59" s="148"/>
      <c r="I59" s="148"/>
      <c r="K59" s="117"/>
      <c r="L59" s="117"/>
      <c r="M59" s="117"/>
      <c r="N59" s="117"/>
      <c r="O59" s="117"/>
      <c r="P59" s="117"/>
      <c r="Q59" s="117"/>
      <c r="R59" s="117"/>
    </row>
    <row r="60" spans="1:18" s="149" customFormat="1" ht="32.25" customHeight="1" x14ac:dyDescent="0.4">
      <c r="B60" s="297"/>
      <c r="C60" s="145"/>
      <c r="D60" s="145"/>
      <c r="E60" s="146"/>
      <c r="F60" s="144"/>
      <c r="G60" s="147"/>
      <c r="H60" s="148"/>
      <c r="I60" s="148"/>
      <c r="K60" s="117"/>
      <c r="L60" s="117"/>
      <c r="M60" s="117"/>
      <c r="N60" s="117"/>
      <c r="O60" s="117"/>
      <c r="P60" s="117"/>
      <c r="Q60" s="117"/>
      <c r="R60" s="117"/>
    </row>
    <row r="61" spans="1:18" s="149" customFormat="1" ht="32.25" customHeight="1" x14ac:dyDescent="0.4">
      <c r="B61" s="297"/>
      <c r="C61" s="145"/>
      <c r="D61" s="145"/>
      <c r="E61" s="146"/>
      <c r="F61" s="144"/>
      <c r="G61" s="147"/>
      <c r="H61" s="148"/>
      <c r="I61" s="148"/>
      <c r="K61" s="117"/>
      <c r="L61" s="117"/>
      <c r="M61" s="117"/>
      <c r="N61" s="117"/>
      <c r="O61" s="117"/>
      <c r="P61" s="117"/>
      <c r="Q61" s="117"/>
      <c r="R61" s="117"/>
    </row>
    <row r="62" spans="1:18" s="149" customFormat="1" ht="32.25" customHeight="1" x14ac:dyDescent="0.4">
      <c r="B62" s="297"/>
      <c r="C62" s="145"/>
      <c r="D62" s="145"/>
      <c r="E62" s="146"/>
      <c r="F62" s="144"/>
      <c r="G62" s="147"/>
      <c r="H62" s="148"/>
      <c r="I62" s="148"/>
      <c r="K62" s="117"/>
      <c r="L62" s="117"/>
      <c r="M62" s="117"/>
      <c r="N62" s="117"/>
      <c r="O62" s="117"/>
      <c r="P62" s="117"/>
      <c r="Q62" s="117"/>
      <c r="R62" s="117"/>
    </row>
    <row r="63" spans="1:18" s="149" customFormat="1" ht="32.25" customHeight="1" x14ac:dyDescent="0.4">
      <c r="B63" s="297"/>
      <c r="C63" s="145"/>
      <c r="D63" s="145"/>
      <c r="E63" s="146"/>
      <c r="F63" s="144"/>
      <c r="G63" s="147"/>
      <c r="H63" s="148"/>
      <c r="I63" s="148"/>
      <c r="K63" s="117"/>
      <c r="L63" s="117"/>
      <c r="M63" s="117"/>
      <c r="N63" s="117"/>
      <c r="O63" s="117"/>
      <c r="P63" s="117"/>
      <c r="Q63" s="117"/>
      <c r="R63" s="117"/>
    </row>
    <row r="64" spans="1:18" s="149" customFormat="1" ht="32.25" customHeight="1" x14ac:dyDescent="0.4">
      <c r="B64" s="297"/>
      <c r="C64" s="145"/>
      <c r="D64" s="145"/>
      <c r="E64" s="146"/>
      <c r="F64" s="144"/>
      <c r="G64" s="147"/>
      <c r="H64" s="148"/>
      <c r="I64" s="148"/>
      <c r="K64" s="117"/>
      <c r="L64" s="117"/>
      <c r="M64" s="117"/>
      <c r="N64" s="117"/>
      <c r="O64" s="117"/>
      <c r="P64" s="117"/>
      <c r="Q64" s="117"/>
      <c r="R64" s="117"/>
    </row>
    <row r="65" spans="2:18" s="149" customFormat="1" ht="32.25" customHeight="1" x14ac:dyDescent="0.4">
      <c r="B65" s="297"/>
      <c r="C65" s="145"/>
      <c r="D65" s="145"/>
      <c r="E65" s="146"/>
      <c r="F65" s="144"/>
      <c r="G65" s="147"/>
      <c r="H65" s="148"/>
      <c r="I65" s="148"/>
      <c r="K65" s="117"/>
      <c r="L65" s="117"/>
      <c r="M65" s="117"/>
      <c r="N65" s="117"/>
      <c r="O65" s="117"/>
      <c r="P65" s="117"/>
      <c r="Q65" s="117"/>
      <c r="R65" s="117"/>
    </row>
    <row r="66" spans="2:18" s="149" customFormat="1" ht="32.25" customHeight="1" x14ac:dyDescent="0.4">
      <c r="B66" s="297"/>
      <c r="C66" s="145"/>
      <c r="D66" s="145"/>
      <c r="E66" s="146"/>
      <c r="F66" s="144"/>
      <c r="G66" s="147"/>
      <c r="H66" s="148"/>
      <c r="I66" s="148"/>
      <c r="K66" s="117"/>
      <c r="L66" s="117"/>
      <c r="M66" s="117"/>
      <c r="N66" s="117"/>
      <c r="O66" s="117"/>
      <c r="P66" s="117"/>
      <c r="Q66" s="117"/>
      <c r="R66" s="117"/>
    </row>
    <row r="67" spans="2:18" s="149" customFormat="1" ht="32.25" customHeight="1" x14ac:dyDescent="0.4">
      <c r="B67" s="297"/>
      <c r="C67" s="145"/>
      <c r="D67" s="145"/>
      <c r="E67" s="146"/>
      <c r="F67" s="144"/>
      <c r="G67" s="147"/>
      <c r="H67" s="148"/>
      <c r="I67" s="148"/>
      <c r="K67" s="117"/>
      <c r="L67" s="117"/>
      <c r="M67" s="117"/>
      <c r="N67" s="117"/>
      <c r="O67" s="117"/>
      <c r="P67" s="117"/>
      <c r="Q67" s="117"/>
      <c r="R67" s="117"/>
    </row>
    <row r="68" spans="2:18" s="149" customFormat="1" ht="32.25" customHeight="1" x14ac:dyDescent="0.4">
      <c r="B68" s="297"/>
      <c r="C68" s="145"/>
      <c r="D68" s="145"/>
      <c r="E68" s="146"/>
      <c r="F68" s="144"/>
      <c r="G68" s="147"/>
      <c r="H68" s="148"/>
      <c r="I68" s="148"/>
      <c r="K68" s="117"/>
      <c r="L68" s="117"/>
      <c r="M68" s="117"/>
      <c r="N68" s="117"/>
      <c r="O68" s="117"/>
      <c r="P68" s="117"/>
      <c r="Q68" s="117"/>
      <c r="R68" s="117"/>
    </row>
    <row r="69" spans="2:18" s="149" customFormat="1" ht="32.25" customHeight="1" x14ac:dyDescent="0.4">
      <c r="B69" s="297"/>
      <c r="C69" s="145"/>
      <c r="D69" s="145"/>
      <c r="E69" s="146"/>
      <c r="F69" s="144"/>
      <c r="G69" s="147"/>
      <c r="H69" s="148"/>
      <c r="I69" s="148"/>
      <c r="K69" s="117"/>
      <c r="L69" s="117"/>
      <c r="M69" s="117"/>
      <c r="N69" s="117"/>
      <c r="O69" s="117"/>
      <c r="P69" s="117"/>
      <c r="Q69" s="117"/>
      <c r="R69" s="117"/>
    </row>
    <row r="70" spans="2:18" s="149" customFormat="1" ht="32.25" customHeight="1" x14ac:dyDescent="0.4">
      <c r="B70" s="297"/>
      <c r="C70" s="145"/>
      <c r="D70" s="145"/>
      <c r="E70" s="146"/>
      <c r="F70" s="144"/>
      <c r="G70" s="147"/>
      <c r="H70" s="148"/>
      <c r="I70" s="148"/>
      <c r="K70" s="117"/>
      <c r="L70" s="117"/>
      <c r="M70" s="117"/>
      <c r="N70" s="117"/>
      <c r="O70" s="117"/>
      <c r="P70" s="117"/>
      <c r="Q70" s="117"/>
      <c r="R70" s="117"/>
    </row>
    <row r="71" spans="2:18" s="149" customFormat="1" ht="32.25" customHeight="1" x14ac:dyDescent="0.4">
      <c r="B71" s="297"/>
      <c r="C71" s="145"/>
      <c r="D71" s="145"/>
      <c r="E71" s="146"/>
      <c r="F71" s="144"/>
      <c r="G71" s="147"/>
      <c r="H71" s="148"/>
      <c r="I71" s="148"/>
      <c r="K71" s="117"/>
      <c r="L71" s="117"/>
      <c r="M71" s="117"/>
      <c r="N71" s="117"/>
      <c r="O71" s="117"/>
      <c r="P71" s="117"/>
      <c r="Q71" s="117"/>
      <c r="R71" s="117"/>
    </row>
    <row r="72" spans="2:18" s="149" customFormat="1" ht="32.25" customHeight="1" x14ac:dyDescent="0.4">
      <c r="B72" s="297"/>
      <c r="C72" s="145"/>
      <c r="D72" s="145"/>
      <c r="E72" s="146"/>
      <c r="F72" s="144"/>
      <c r="G72" s="147"/>
      <c r="H72" s="148"/>
      <c r="I72" s="148"/>
      <c r="K72" s="117"/>
      <c r="L72" s="117"/>
      <c r="M72" s="117"/>
      <c r="N72" s="117"/>
      <c r="O72" s="117"/>
      <c r="P72" s="117"/>
      <c r="Q72" s="117"/>
      <c r="R72" s="117"/>
    </row>
    <row r="73" spans="2:18" s="149" customFormat="1" ht="32.25" customHeight="1" x14ac:dyDescent="0.4">
      <c r="B73" s="297"/>
      <c r="C73" s="145"/>
      <c r="D73" s="145"/>
      <c r="E73" s="146"/>
      <c r="F73" s="144"/>
      <c r="G73" s="147"/>
      <c r="H73" s="148"/>
      <c r="I73" s="148"/>
      <c r="K73" s="117"/>
      <c r="L73" s="117"/>
      <c r="M73" s="117"/>
      <c r="N73" s="117"/>
      <c r="O73" s="117"/>
      <c r="P73" s="117"/>
      <c r="Q73" s="117"/>
      <c r="R73" s="117"/>
    </row>
    <row r="74" spans="2:18" s="149" customFormat="1" ht="32.25" customHeight="1" x14ac:dyDescent="0.4">
      <c r="B74" s="297"/>
      <c r="C74" s="145"/>
      <c r="D74" s="145"/>
      <c r="E74" s="146"/>
      <c r="F74" s="144"/>
      <c r="G74" s="147"/>
      <c r="H74" s="148"/>
      <c r="I74" s="148"/>
      <c r="K74" s="117"/>
      <c r="L74" s="117"/>
      <c r="M74" s="117"/>
      <c r="N74" s="117"/>
      <c r="O74" s="117"/>
      <c r="P74" s="117"/>
      <c r="Q74" s="117"/>
      <c r="R74" s="117"/>
    </row>
    <row r="75" spans="2:18" s="149" customFormat="1" ht="32.25" customHeight="1" x14ac:dyDescent="0.4">
      <c r="B75" s="297"/>
      <c r="C75" s="145"/>
      <c r="D75" s="145"/>
      <c r="E75" s="146"/>
      <c r="F75" s="144"/>
      <c r="G75" s="147"/>
      <c r="H75" s="148"/>
      <c r="I75" s="148"/>
      <c r="K75" s="117"/>
      <c r="L75" s="117"/>
      <c r="M75" s="117"/>
      <c r="N75" s="117"/>
      <c r="O75" s="117"/>
      <c r="P75" s="117"/>
      <c r="Q75" s="117"/>
      <c r="R75" s="117"/>
    </row>
    <row r="76" spans="2:18" s="149" customFormat="1" ht="32.25" customHeight="1" x14ac:dyDescent="0.4">
      <c r="B76" s="297"/>
      <c r="C76" s="145"/>
      <c r="D76" s="145"/>
      <c r="E76" s="146"/>
      <c r="F76" s="144"/>
      <c r="G76" s="147"/>
      <c r="H76" s="148"/>
      <c r="I76" s="148"/>
      <c r="K76" s="117"/>
      <c r="L76" s="117"/>
      <c r="M76" s="117"/>
      <c r="N76" s="117"/>
      <c r="O76" s="117"/>
      <c r="P76" s="117"/>
      <c r="Q76" s="117"/>
      <c r="R76" s="117"/>
    </row>
    <row r="77" spans="2:18" s="149" customFormat="1" ht="32.25" customHeight="1" x14ac:dyDescent="0.4">
      <c r="B77" s="297"/>
      <c r="C77" s="145"/>
      <c r="D77" s="145"/>
      <c r="E77" s="146"/>
      <c r="F77" s="144"/>
      <c r="G77" s="147"/>
      <c r="H77" s="148"/>
      <c r="I77" s="148"/>
      <c r="K77" s="117"/>
      <c r="L77" s="117"/>
      <c r="M77" s="117"/>
      <c r="N77" s="117"/>
      <c r="O77" s="117"/>
      <c r="P77" s="117"/>
      <c r="Q77" s="117"/>
      <c r="R77" s="117"/>
    </row>
    <row r="78" spans="2:18" s="149" customFormat="1" ht="32.25" customHeight="1" x14ac:dyDescent="0.4">
      <c r="B78" s="297"/>
      <c r="C78" s="145"/>
      <c r="D78" s="145"/>
      <c r="E78" s="146"/>
      <c r="F78" s="144"/>
      <c r="G78" s="147"/>
      <c r="H78" s="148"/>
      <c r="I78" s="148"/>
      <c r="K78" s="117"/>
      <c r="L78" s="117"/>
      <c r="M78" s="117"/>
      <c r="N78" s="117"/>
      <c r="O78" s="117"/>
      <c r="P78" s="117"/>
      <c r="Q78" s="117"/>
      <c r="R78" s="117"/>
    </row>
    <row r="79" spans="2:18" s="149" customFormat="1" ht="32.25" customHeight="1" x14ac:dyDescent="0.4">
      <c r="B79" s="297"/>
      <c r="C79" s="145"/>
      <c r="D79" s="145"/>
      <c r="E79" s="146"/>
      <c r="F79" s="144"/>
      <c r="G79" s="147"/>
      <c r="H79" s="148"/>
      <c r="I79" s="148"/>
      <c r="K79" s="117"/>
      <c r="L79" s="117"/>
      <c r="M79" s="117"/>
      <c r="N79" s="117"/>
      <c r="O79" s="117"/>
      <c r="P79" s="117"/>
      <c r="Q79" s="117"/>
      <c r="R79" s="117"/>
    </row>
    <row r="80" spans="2:18" s="149" customFormat="1" ht="32.25" customHeight="1" x14ac:dyDescent="0.4">
      <c r="B80" s="297"/>
      <c r="C80" s="145"/>
      <c r="D80" s="145"/>
      <c r="E80" s="146"/>
      <c r="F80" s="144"/>
      <c r="G80" s="147"/>
      <c r="H80" s="148"/>
      <c r="I80" s="148"/>
      <c r="K80" s="117"/>
      <c r="L80" s="117"/>
      <c r="M80" s="117"/>
      <c r="N80" s="117"/>
      <c r="O80" s="117"/>
      <c r="P80" s="117"/>
      <c r="Q80" s="117"/>
      <c r="R80" s="117"/>
    </row>
    <row r="81" spans="2:18" s="149" customFormat="1" ht="32.25" customHeight="1" x14ac:dyDescent="0.4">
      <c r="B81" s="297"/>
      <c r="C81" s="145"/>
      <c r="D81" s="145"/>
      <c r="E81" s="146"/>
      <c r="F81" s="144"/>
      <c r="G81" s="147"/>
      <c r="H81" s="148"/>
      <c r="I81" s="148"/>
      <c r="K81" s="117"/>
      <c r="L81" s="117"/>
      <c r="M81" s="117"/>
      <c r="N81" s="117"/>
      <c r="O81" s="117"/>
      <c r="P81" s="117"/>
      <c r="Q81" s="117"/>
      <c r="R81" s="117"/>
    </row>
    <row r="82" spans="2:18" s="149" customFormat="1" ht="32.25" customHeight="1" x14ac:dyDescent="0.4">
      <c r="B82" s="297"/>
      <c r="C82" s="145"/>
      <c r="D82" s="145"/>
      <c r="E82" s="146"/>
      <c r="F82" s="144"/>
      <c r="G82" s="147"/>
      <c r="H82" s="148"/>
      <c r="I82" s="148"/>
      <c r="K82" s="117"/>
      <c r="L82" s="117"/>
      <c r="M82" s="117"/>
      <c r="N82" s="117"/>
      <c r="O82" s="117"/>
      <c r="P82" s="117"/>
      <c r="Q82" s="117"/>
      <c r="R82" s="117"/>
    </row>
    <row r="83" spans="2:18" s="149" customFormat="1" ht="32.25" customHeight="1" x14ac:dyDescent="0.4">
      <c r="B83" s="297"/>
      <c r="C83" s="145"/>
      <c r="D83" s="145"/>
      <c r="E83" s="146"/>
      <c r="F83" s="144"/>
      <c r="G83" s="147"/>
      <c r="H83" s="148"/>
      <c r="I83" s="148"/>
      <c r="K83" s="117"/>
      <c r="L83" s="117"/>
      <c r="M83" s="117"/>
      <c r="N83" s="117"/>
      <c r="O83" s="117"/>
      <c r="P83" s="117"/>
      <c r="Q83" s="117"/>
      <c r="R83" s="117"/>
    </row>
    <row r="84" spans="2:18" s="149" customFormat="1" ht="32.25" customHeight="1" x14ac:dyDescent="0.4">
      <c r="B84" s="297"/>
      <c r="C84" s="145"/>
      <c r="D84" s="145"/>
      <c r="E84" s="146"/>
      <c r="F84" s="144"/>
      <c r="G84" s="147"/>
      <c r="H84" s="148"/>
      <c r="I84" s="148"/>
      <c r="K84" s="117"/>
      <c r="L84" s="117"/>
      <c r="M84" s="117"/>
      <c r="N84" s="117"/>
      <c r="O84" s="117"/>
      <c r="P84" s="117"/>
      <c r="Q84" s="117"/>
      <c r="R84" s="117"/>
    </row>
    <row r="85" spans="2:18" s="149" customFormat="1" ht="32.25" customHeight="1" x14ac:dyDescent="0.4">
      <c r="B85" s="297"/>
      <c r="C85" s="145"/>
      <c r="D85" s="145"/>
      <c r="E85" s="146"/>
      <c r="F85" s="144"/>
      <c r="G85" s="147"/>
      <c r="H85" s="148"/>
      <c r="I85" s="148"/>
      <c r="K85" s="117"/>
      <c r="L85" s="117"/>
      <c r="M85" s="117"/>
      <c r="N85" s="117"/>
      <c r="O85" s="117"/>
      <c r="P85" s="117"/>
      <c r="Q85" s="117"/>
      <c r="R85" s="117"/>
    </row>
    <row r="86" spans="2:18" s="149" customFormat="1" ht="32.25" customHeight="1" x14ac:dyDescent="0.4">
      <c r="B86" s="297"/>
      <c r="C86" s="145"/>
      <c r="D86" s="145"/>
      <c r="E86" s="146"/>
      <c r="F86" s="144"/>
      <c r="G86" s="147"/>
      <c r="H86" s="148"/>
      <c r="I86" s="148"/>
      <c r="K86" s="117"/>
      <c r="L86" s="117"/>
      <c r="M86" s="117"/>
      <c r="N86" s="117"/>
      <c r="O86" s="117"/>
      <c r="P86" s="117"/>
      <c r="Q86" s="117"/>
      <c r="R86" s="117"/>
    </row>
    <row r="87" spans="2:18" s="149" customFormat="1" ht="32.25" customHeight="1" x14ac:dyDescent="0.4">
      <c r="B87" s="297"/>
      <c r="C87" s="145"/>
      <c r="D87" s="145"/>
      <c r="E87" s="146"/>
      <c r="F87" s="144"/>
      <c r="G87" s="147"/>
      <c r="H87" s="148"/>
      <c r="I87" s="148"/>
      <c r="K87" s="117"/>
      <c r="L87" s="117"/>
      <c r="M87" s="117"/>
      <c r="N87" s="117"/>
      <c r="O87" s="117"/>
      <c r="P87" s="117"/>
      <c r="Q87" s="117"/>
      <c r="R87" s="117"/>
    </row>
    <row r="88" spans="2:18" s="149" customFormat="1" ht="32.25" customHeight="1" x14ac:dyDescent="0.4">
      <c r="B88" s="297"/>
      <c r="C88" s="145"/>
      <c r="D88" s="145"/>
      <c r="E88" s="146"/>
      <c r="F88" s="144"/>
      <c r="G88" s="147"/>
      <c r="H88" s="148"/>
      <c r="I88" s="148"/>
      <c r="K88" s="117"/>
      <c r="L88" s="117"/>
      <c r="M88" s="117"/>
      <c r="N88" s="117"/>
      <c r="O88" s="117"/>
      <c r="P88" s="117"/>
      <c r="Q88" s="117"/>
      <c r="R88" s="117"/>
    </row>
    <row r="89" spans="2:18" s="149" customFormat="1" ht="32.25" customHeight="1" x14ac:dyDescent="0.4">
      <c r="B89" s="297"/>
      <c r="C89" s="145"/>
      <c r="D89" s="145"/>
      <c r="E89" s="146"/>
      <c r="F89" s="144"/>
      <c r="G89" s="147"/>
      <c r="H89" s="148"/>
      <c r="I89" s="148"/>
      <c r="K89" s="117"/>
      <c r="L89" s="117"/>
      <c r="M89" s="117"/>
      <c r="N89" s="117"/>
      <c r="O89" s="117"/>
      <c r="P89" s="117"/>
      <c r="Q89" s="117"/>
      <c r="R89" s="117"/>
    </row>
    <row r="90" spans="2:18" s="149" customFormat="1" ht="32.25" customHeight="1" x14ac:dyDescent="0.4">
      <c r="B90" s="297"/>
      <c r="C90" s="145"/>
      <c r="D90" s="145"/>
      <c r="E90" s="146"/>
      <c r="F90" s="144"/>
      <c r="G90" s="147"/>
      <c r="H90" s="148"/>
      <c r="I90" s="148"/>
      <c r="K90" s="117"/>
      <c r="L90" s="117"/>
      <c r="M90" s="117"/>
      <c r="N90" s="117"/>
      <c r="O90" s="117"/>
      <c r="P90" s="117"/>
      <c r="Q90" s="117"/>
      <c r="R90" s="117"/>
    </row>
    <row r="91" spans="2:18" s="149" customFormat="1" ht="32.25" customHeight="1" x14ac:dyDescent="0.4">
      <c r="B91" s="297"/>
      <c r="C91" s="145"/>
      <c r="D91" s="145"/>
      <c r="E91" s="146"/>
      <c r="F91" s="144"/>
      <c r="G91" s="147"/>
      <c r="H91" s="148"/>
      <c r="I91" s="148"/>
      <c r="K91" s="117"/>
      <c r="L91" s="117"/>
      <c r="M91" s="117"/>
      <c r="N91" s="117"/>
      <c r="O91" s="117"/>
      <c r="P91" s="117"/>
      <c r="Q91" s="117"/>
      <c r="R91" s="117"/>
    </row>
    <row r="92" spans="2:18" s="149" customFormat="1" ht="32.25" customHeight="1" x14ac:dyDescent="0.4">
      <c r="B92" s="297"/>
      <c r="C92" s="145"/>
      <c r="D92" s="145"/>
      <c r="E92" s="146"/>
      <c r="F92" s="144"/>
      <c r="G92" s="147"/>
      <c r="H92" s="148"/>
      <c r="I92" s="148"/>
      <c r="K92" s="117"/>
      <c r="L92" s="117"/>
      <c r="M92" s="117"/>
      <c r="N92" s="117"/>
      <c r="O92" s="117"/>
      <c r="P92" s="117"/>
      <c r="Q92" s="117"/>
      <c r="R92" s="117"/>
    </row>
    <row r="93" spans="2:18" s="149" customFormat="1" ht="32.25" customHeight="1" x14ac:dyDescent="0.4">
      <c r="B93" s="297"/>
      <c r="C93" s="145"/>
      <c r="D93" s="145"/>
      <c r="E93" s="146"/>
      <c r="F93" s="144"/>
      <c r="G93" s="147"/>
      <c r="H93" s="148"/>
      <c r="I93" s="148"/>
      <c r="K93" s="117"/>
      <c r="L93" s="117"/>
      <c r="M93" s="117"/>
      <c r="N93" s="117"/>
      <c r="O93" s="117"/>
      <c r="P93" s="117"/>
      <c r="Q93" s="117"/>
      <c r="R93" s="117"/>
    </row>
    <row r="94" spans="2:18" s="149" customFormat="1" ht="32.25" customHeight="1" x14ac:dyDescent="0.4">
      <c r="B94" s="297"/>
      <c r="C94" s="145"/>
      <c r="D94" s="145"/>
      <c r="E94" s="146"/>
      <c r="F94" s="144"/>
      <c r="G94" s="147"/>
      <c r="H94" s="148"/>
      <c r="I94" s="148"/>
      <c r="K94" s="117"/>
      <c r="L94" s="117"/>
      <c r="M94" s="117"/>
      <c r="N94" s="117"/>
      <c r="O94" s="117"/>
      <c r="P94" s="117"/>
      <c r="Q94" s="117"/>
      <c r="R94" s="117"/>
    </row>
    <row r="95" spans="2:18" s="149" customFormat="1" ht="32.25" customHeight="1" x14ac:dyDescent="0.4">
      <c r="B95" s="297"/>
      <c r="C95" s="145"/>
      <c r="D95" s="145"/>
      <c r="E95" s="146"/>
      <c r="F95" s="144"/>
      <c r="G95" s="147"/>
      <c r="H95" s="148"/>
      <c r="I95" s="148"/>
      <c r="K95" s="117"/>
      <c r="L95" s="117"/>
      <c r="M95" s="117"/>
      <c r="N95" s="117"/>
      <c r="O95" s="117"/>
      <c r="P95" s="117"/>
      <c r="Q95" s="117"/>
      <c r="R95" s="117"/>
    </row>
    <row r="96" spans="2:18" s="149" customFormat="1" ht="32.25" customHeight="1" x14ac:dyDescent="0.4">
      <c r="B96" s="297"/>
      <c r="C96" s="145"/>
      <c r="D96" s="145"/>
      <c r="E96" s="146"/>
      <c r="F96" s="144"/>
      <c r="G96" s="147"/>
      <c r="H96" s="148"/>
      <c r="I96" s="148"/>
      <c r="K96" s="117"/>
      <c r="L96" s="117"/>
      <c r="M96" s="117"/>
      <c r="N96" s="117"/>
      <c r="O96" s="117"/>
      <c r="P96" s="117"/>
      <c r="Q96" s="117"/>
      <c r="R96" s="117"/>
    </row>
    <row r="97" spans="2:18" s="149" customFormat="1" ht="32.25" customHeight="1" x14ac:dyDescent="0.4">
      <c r="B97" s="297"/>
      <c r="C97" s="145"/>
      <c r="D97" s="145"/>
      <c r="E97" s="146"/>
      <c r="F97" s="144"/>
      <c r="G97" s="147"/>
      <c r="H97" s="148"/>
      <c r="I97" s="148"/>
      <c r="K97" s="117"/>
      <c r="L97" s="117"/>
      <c r="M97" s="117"/>
      <c r="N97" s="117"/>
      <c r="O97" s="117"/>
      <c r="P97" s="117"/>
      <c r="Q97" s="117"/>
      <c r="R97" s="117"/>
    </row>
    <row r="98" spans="2:18" s="149" customFormat="1" ht="32.25" customHeight="1" x14ac:dyDescent="0.4">
      <c r="B98" s="297"/>
      <c r="C98" s="145"/>
      <c r="D98" s="145"/>
      <c r="E98" s="146"/>
      <c r="F98" s="144"/>
      <c r="G98" s="147"/>
      <c r="H98" s="148"/>
      <c r="I98" s="148"/>
      <c r="K98" s="117"/>
      <c r="L98" s="117"/>
      <c r="M98" s="117"/>
      <c r="N98" s="117"/>
      <c r="O98" s="117"/>
      <c r="P98" s="117"/>
      <c r="Q98" s="117"/>
      <c r="R98" s="117"/>
    </row>
    <row r="99" spans="2:18" s="149" customFormat="1" ht="32.25" customHeight="1" x14ac:dyDescent="0.4">
      <c r="B99" s="297"/>
      <c r="C99" s="145"/>
      <c r="D99" s="145"/>
      <c r="E99" s="146"/>
      <c r="F99" s="144"/>
      <c r="G99" s="147"/>
      <c r="H99" s="148"/>
      <c r="I99" s="148"/>
      <c r="K99" s="117"/>
      <c r="L99" s="117"/>
      <c r="M99" s="117"/>
      <c r="N99" s="117"/>
      <c r="O99" s="117"/>
      <c r="P99" s="117"/>
      <c r="Q99" s="117"/>
      <c r="R99" s="117"/>
    </row>
    <row r="100" spans="2:18" s="149" customFormat="1" ht="32.25" customHeight="1" x14ac:dyDescent="0.4">
      <c r="B100" s="297"/>
      <c r="C100" s="145"/>
      <c r="D100" s="145"/>
      <c r="E100" s="146"/>
      <c r="F100" s="144"/>
      <c r="G100" s="147"/>
      <c r="H100" s="148"/>
      <c r="I100" s="148"/>
      <c r="K100" s="117"/>
      <c r="L100" s="117"/>
      <c r="M100" s="117"/>
      <c r="N100" s="117"/>
      <c r="O100" s="117"/>
      <c r="P100" s="117"/>
      <c r="Q100" s="117"/>
      <c r="R100" s="117"/>
    </row>
    <row r="101" spans="2:18" s="149" customFormat="1" ht="32.25" customHeight="1" x14ac:dyDescent="0.4">
      <c r="B101" s="297"/>
      <c r="C101" s="145"/>
      <c r="D101" s="145"/>
      <c r="E101" s="146"/>
      <c r="F101" s="144"/>
      <c r="G101" s="147"/>
      <c r="H101" s="148"/>
      <c r="I101" s="148"/>
      <c r="K101" s="117"/>
      <c r="L101" s="117"/>
      <c r="M101" s="117"/>
      <c r="N101" s="117"/>
      <c r="O101" s="117"/>
      <c r="P101" s="117"/>
      <c r="Q101" s="117"/>
      <c r="R101" s="117"/>
    </row>
    <row r="102" spans="2:18" s="149" customFormat="1" ht="32.25" customHeight="1" x14ac:dyDescent="0.4">
      <c r="B102" s="297"/>
      <c r="C102" s="145"/>
      <c r="D102" s="145"/>
      <c r="E102" s="146"/>
      <c r="F102" s="144"/>
      <c r="G102" s="147"/>
      <c r="H102" s="148"/>
      <c r="I102" s="148"/>
      <c r="K102" s="117"/>
      <c r="L102" s="117"/>
      <c r="M102" s="117"/>
      <c r="N102" s="117"/>
      <c r="O102" s="117"/>
      <c r="P102" s="117"/>
      <c r="Q102" s="117"/>
      <c r="R102" s="117"/>
    </row>
    <row r="103" spans="2:18" s="149" customFormat="1" ht="32.25" customHeight="1" x14ac:dyDescent="0.4">
      <c r="B103" s="297"/>
      <c r="C103" s="145"/>
      <c r="D103" s="145"/>
      <c r="E103" s="146"/>
      <c r="F103" s="144"/>
      <c r="G103" s="147"/>
      <c r="H103" s="148"/>
      <c r="I103" s="148"/>
      <c r="K103" s="117"/>
      <c r="L103" s="117"/>
      <c r="M103" s="117"/>
      <c r="N103" s="117"/>
      <c r="O103" s="117"/>
      <c r="P103" s="117"/>
      <c r="Q103" s="117"/>
      <c r="R103" s="117"/>
    </row>
    <row r="104" spans="2:18" s="149" customFormat="1" ht="32.25" customHeight="1" x14ac:dyDescent="0.4">
      <c r="B104" s="297"/>
      <c r="C104" s="145"/>
      <c r="D104" s="145"/>
      <c r="E104" s="146"/>
      <c r="F104" s="144"/>
      <c r="G104" s="147"/>
      <c r="H104" s="148"/>
      <c r="I104" s="148"/>
      <c r="K104" s="117"/>
      <c r="L104" s="117"/>
      <c r="M104" s="117"/>
      <c r="N104" s="117"/>
      <c r="O104" s="117"/>
      <c r="P104" s="117"/>
      <c r="Q104" s="117"/>
      <c r="R104" s="117"/>
    </row>
    <row r="105" spans="2:18" s="149" customFormat="1" ht="32.25" customHeight="1" x14ac:dyDescent="0.4">
      <c r="B105" s="297"/>
      <c r="C105" s="145"/>
      <c r="D105" s="145"/>
      <c r="E105" s="146"/>
      <c r="F105" s="144"/>
      <c r="G105" s="147"/>
      <c r="H105" s="148"/>
      <c r="I105" s="148"/>
      <c r="K105" s="117"/>
      <c r="L105" s="117"/>
      <c r="M105" s="117"/>
      <c r="N105" s="117"/>
      <c r="O105" s="117"/>
      <c r="P105" s="117"/>
      <c r="Q105" s="117"/>
      <c r="R105" s="117"/>
    </row>
    <row r="106" spans="2:18" s="149" customFormat="1" ht="32.25" customHeight="1" x14ac:dyDescent="0.4">
      <c r="B106" s="297"/>
      <c r="C106" s="145"/>
      <c r="D106" s="145"/>
      <c r="E106" s="146"/>
      <c r="F106" s="144"/>
      <c r="G106" s="147"/>
      <c r="H106" s="148"/>
      <c r="I106" s="148"/>
      <c r="K106" s="117"/>
      <c r="L106" s="117"/>
      <c r="M106" s="117"/>
      <c r="N106" s="117"/>
      <c r="O106" s="117"/>
      <c r="P106" s="117"/>
      <c r="Q106" s="117"/>
      <c r="R106" s="117"/>
    </row>
    <row r="107" spans="2:18" s="149" customFormat="1" ht="32.25" customHeight="1" x14ac:dyDescent="0.4">
      <c r="B107" s="297"/>
      <c r="C107" s="145"/>
      <c r="D107" s="145"/>
      <c r="E107" s="146"/>
      <c r="F107" s="144"/>
      <c r="G107" s="147"/>
      <c r="H107" s="148"/>
      <c r="I107" s="148"/>
      <c r="K107" s="117"/>
      <c r="L107" s="117"/>
      <c r="M107" s="117"/>
      <c r="N107" s="117"/>
      <c r="O107" s="117"/>
      <c r="P107" s="117"/>
      <c r="Q107" s="117"/>
      <c r="R107" s="117"/>
    </row>
    <row r="108" spans="2:18" s="149" customFormat="1" ht="32.25" customHeight="1" x14ac:dyDescent="0.4">
      <c r="B108" s="297"/>
      <c r="C108" s="145"/>
      <c r="D108" s="145"/>
      <c r="E108" s="146"/>
      <c r="F108" s="144"/>
      <c r="G108" s="147"/>
      <c r="H108" s="148"/>
      <c r="I108" s="148"/>
      <c r="K108" s="117"/>
      <c r="L108" s="117"/>
      <c r="M108" s="117"/>
      <c r="N108" s="117"/>
      <c r="O108" s="117"/>
      <c r="P108" s="117"/>
      <c r="Q108" s="117"/>
      <c r="R108" s="117"/>
    </row>
    <row r="109" spans="2:18" s="149" customFormat="1" ht="32.25" customHeight="1" x14ac:dyDescent="0.4">
      <c r="B109" s="297"/>
      <c r="C109" s="145"/>
      <c r="D109" s="145"/>
      <c r="E109" s="146"/>
      <c r="F109" s="144"/>
      <c r="G109" s="147"/>
      <c r="H109" s="148"/>
      <c r="I109" s="148"/>
      <c r="K109" s="117"/>
      <c r="L109" s="117"/>
      <c r="M109" s="117"/>
      <c r="N109" s="117"/>
      <c r="O109" s="117"/>
      <c r="P109" s="117"/>
      <c r="Q109" s="117"/>
      <c r="R109" s="117"/>
    </row>
    <row r="110" spans="2:18" s="149" customFormat="1" ht="32.25" customHeight="1" x14ac:dyDescent="0.4">
      <c r="B110" s="297"/>
      <c r="C110" s="145"/>
      <c r="D110" s="145"/>
      <c r="E110" s="146"/>
      <c r="F110" s="144"/>
      <c r="G110" s="147"/>
      <c r="H110" s="148"/>
      <c r="I110" s="148"/>
      <c r="K110" s="117"/>
      <c r="L110" s="117"/>
      <c r="M110" s="117"/>
      <c r="N110" s="117"/>
      <c r="O110" s="117"/>
      <c r="P110" s="117"/>
      <c r="Q110" s="117"/>
      <c r="R110" s="117"/>
    </row>
    <row r="111" spans="2:18" s="149" customFormat="1" ht="32.25" customHeight="1" x14ac:dyDescent="0.4">
      <c r="B111" s="297"/>
      <c r="C111" s="145"/>
      <c r="D111" s="145"/>
      <c r="E111" s="146"/>
      <c r="F111" s="144"/>
      <c r="G111" s="147"/>
      <c r="H111" s="148"/>
      <c r="I111" s="148"/>
      <c r="K111" s="117"/>
      <c r="L111" s="117"/>
      <c r="M111" s="117"/>
      <c r="N111" s="117"/>
      <c r="O111" s="117"/>
      <c r="P111" s="117"/>
      <c r="Q111" s="117"/>
      <c r="R111" s="117"/>
    </row>
    <row r="112" spans="2:18" s="149" customFormat="1" ht="32.25" customHeight="1" x14ac:dyDescent="0.4">
      <c r="B112" s="297"/>
      <c r="C112" s="145"/>
      <c r="D112" s="145"/>
      <c r="E112" s="146"/>
      <c r="F112" s="144"/>
      <c r="G112" s="147"/>
      <c r="H112" s="148"/>
      <c r="I112" s="148"/>
      <c r="K112" s="117"/>
      <c r="L112" s="117"/>
      <c r="M112" s="117"/>
      <c r="N112" s="117"/>
      <c r="O112" s="117"/>
      <c r="P112" s="117"/>
      <c r="Q112" s="117"/>
      <c r="R112" s="117"/>
    </row>
    <row r="113" spans="2:18" s="149" customFormat="1" ht="32.25" customHeight="1" x14ac:dyDescent="0.4">
      <c r="B113" s="297"/>
      <c r="C113" s="145"/>
      <c r="D113" s="145"/>
      <c r="E113" s="146"/>
      <c r="F113" s="144"/>
      <c r="G113" s="147"/>
      <c r="H113" s="148"/>
      <c r="I113" s="148"/>
      <c r="K113" s="117"/>
      <c r="L113" s="117"/>
      <c r="M113" s="117"/>
      <c r="N113" s="117"/>
      <c r="O113" s="117"/>
      <c r="P113" s="117"/>
      <c r="Q113" s="117"/>
      <c r="R113" s="117"/>
    </row>
    <row r="114" spans="2:18" s="149" customFormat="1" ht="32.25" customHeight="1" x14ac:dyDescent="0.4">
      <c r="B114" s="297"/>
      <c r="C114" s="145"/>
      <c r="D114" s="145"/>
      <c r="E114" s="146"/>
      <c r="F114" s="144"/>
      <c r="G114" s="147"/>
      <c r="H114" s="148"/>
      <c r="I114" s="148"/>
      <c r="K114" s="117"/>
      <c r="L114" s="117"/>
      <c r="M114" s="117"/>
      <c r="N114" s="117"/>
      <c r="O114" s="117"/>
      <c r="P114" s="117"/>
      <c r="Q114" s="117"/>
      <c r="R114" s="117"/>
    </row>
    <row r="115" spans="2:18" s="149" customFormat="1" ht="32.25" customHeight="1" x14ac:dyDescent="0.4">
      <c r="B115" s="297"/>
      <c r="C115" s="145"/>
      <c r="D115" s="145"/>
      <c r="E115" s="146"/>
      <c r="F115" s="144"/>
      <c r="G115" s="147"/>
      <c r="H115" s="148"/>
      <c r="I115" s="148"/>
      <c r="K115" s="117"/>
      <c r="L115" s="117"/>
      <c r="M115" s="117"/>
      <c r="N115" s="117"/>
      <c r="O115" s="117"/>
      <c r="P115" s="117"/>
      <c r="Q115" s="117"/>
      <c r="R115" s="117"/>
    </row>
    <row r="116" spans="2:18" s="149" customFormat="1" ht="32.25" customHeight="1" x14ac:dyDescent="0.4">
      <c r="B116" s="297"/>
      <c r="C116" s="145"/>
      <c r="D116" s="145"/>
      <c r="E116" s="146"/>
      <c r="F116" s="144"/>
      <c r="G116" s="147"/>
      <c r="H116" s="148"/>
      <c r="I116" s="148"/>
      <c r="K116" s="117"/>
      <c r="L116" s="117"/>
      <c r="M116" s="117"/>
      <c r="N116" s="117"/>
      <c r="O116" s="117"/>
      <c r="P116" s="117"/>
      <c r="Q116" s="117"/>
      <c r="R116" s="117"/>
    </row>
    <row r="117" spans="2:18" s="149" customFormat="1" ht="32.25" customHeight="1" x14ac:dyDescent="0.4">
      <c r="B117" s="297"/>
      <c r="C117" s="145"/>
      <c r="D117" s="145"/>
      <c r="E117" s="146"/>
      <c r="F117" s="144"/>
      <c r="G117" s="147"/>
      <c r="H117" s="148"/>
      <c r="I117" s="148"/>
      <c r="K117" s="117"/>
      <c r="L117" s="117"/>
      <c r="M117" s="117"/>
      <c r="N117" s="117"/>
      <c r="O117" s="117"/>
      <c r="P117" s="117"/>
      <c r="Q117" s="117"/>
      <c r="R117" s="117"/>
    </row>
    <row r="118" spans="2:18" s="149" customFormat="1" ht="32.25" customHeight="1" x14ac:dyDescent="0.4">
      <c r="B118" s="297"/>
      <c r="C118" s="145"/>
      <c r="D118" s="145"/>
      <c r="E118" s="146"/>
      <c r="F118" s="144"/>
      <c r="G118" s="147"/>
      <c r="H118" s="148"/>
      <c r="I118" s="148"/>
      <c r="K118" s="117"/>
      <c r="L118" s="117"/>
      <c r="M118" s="117"/>
      <c r="N118" s="117"/>
      <c r="O118" s="117"/>
      <c r="P118" s="117"/>
      <c r="Q118" s="117"/>
      <c r="R118" s="117"/>
    </row>
    <row r="119" spans="2:18" s="149" customFormat="1" ht="32.25" customHeight="1" x14ac:dyDescent="0.4">
      <c r="B119" s="297"/>
      <c r="C119" s="145"/>
      <c r="D119" s="145"/>
      <c r="E119" s="146"/>
      <c r="F119" s="144"/>
      <c r="G119" s="147"/>
      <c r="H119" s="148"/>
      <c r="I119" s="148"/>
      <c r="K119" s="117"/>
      <c r="L119" s="117"/>
      <c r="M119" s="117"/>
      <c r="N119" s="117"/>
      <c r="O119" s="117"/>
      <c r="P119" s="117"/>
      <c r="Q119" s="117"/>
      <c r="R119" s="117"/>
    </row>
    <row r="120" spans="2:18" s="149" customFormat="1" ht="32.25" customHeight="1" x14ac:dyDescent="0.4">
      <c r="B120" s="297"/>
      <c r="C120" s="145"/>
      <c r="D120" s="145"/>
      <c r="E120" s="146"/>
      <c r="F120" s="144"/>
      <c r="G120" s="147"/>
      <c r="H120" s="148"/>
      <c r="I120" s="148"/>
      <c r="K120" s="117"/>
      <c r="L120" s="117"/>
      <c r="M120" s="117"/>
      <c r="N120" s="117"/>
      <c r="O120" s="117"/>
      <c r="P120" s="117"/>
      <c r="Q120" s="117"/>
      <c r="R120" s="117"/>
    </row>
    <row r="121" spans="2:18" s="149" customFormat="1" ht="32.25" customHeight="1" x14ac:dyDescent="0.4">
      <c r="B121" s="297"/>
      <c r="C121" s="145"/>
      <c r="D121" s="145"/>
      <c r="E121" s="146"/>
      <c r="F121" s="144"/>
      <c r="G121" s="147"/>
      <c r="H121" s="148"/>
      <c r="I121" s="148"/>
      <c r="K121" s="117"/>
      <c r="L121" s="117"/>
      <c r="M121" s="117"/>
      <c r="N121" s="117"/>
      <c r="O121" s="117"/>
      <c r="P121" s="117"/>
      <c r="Q121" s="117"/>
      <c r="R121" s="117"/>
    </row>
    <row r="122" spans="2:18" s="149" customFormat="1" ht="32.25" customHeight="1" x14ac:dyDescent="0.4">
      <c r="B122" s="297"/>
      <c r="C122" s="145"/>
      <c r="D122" s="145"/>
      <c r="E122" s="146"/>
      <c r="F122" s="144"/>
      <c r="G122" s="147"/>
      <c r="H122" s="148"/>
      <c r="I122" s="148"/>
      <c r="K122" s="117"/>
      <c r="L122" s="117"/>
      <c r="M122" s="117"/>
      <c r="N122" s="117"/>
      <c r="O122" s="117"/>
      <c r="P122" s="117"/>
      <c r="Q122" s="117"/>
      <c r="R122" s="117"/>
    </row>
    <row r="123" spans="2:18" s="149" customFormat="1" ht="32.25" customHeight="1" x14ac:dyDescent="0.4">
      <c r="B123" s="297"/>
      <c r="C123" s="145"/>
      <c r="D123" s="145"/>
      <c r="E123" s="146"/>
      <c r="F123" s="144"/>
      <c r="G123" s="147"/>
      <c r="H123" s="148"/>
      <c r="I123" s="148"/>
      <c r="K123" s="117"/>
      <c r="L123" s="117"/>
      <c r="M123" s="117"/>
      <c r="N123" s="117"/>
      <c r="O123" s="117"/>
      <c r="P123" s="117"/>
      <c r="Q123" s="117"/>
      <c r="R123" s="117"/>
    </row>
    <row r="124" spans="2:18" s="149" customFormat="1" ht="32.25" customHeight="1" x14ac:dyDescent="0.4">
      <c r="B124" s="297"/>
      <c r="C124" s="145"/>
      <c r="D124" s="145"/>
      <c r="E124" s="146"/>
      <c r="F124" s="144"/>
      <c r="G124" s="147"/>
      <c r="H124" s="148"/>
      <c r="I124" s="148"/>
      <c r="K124" s="117"/>
      <c r="L124" s="117"/>
      <c r="M124" s="117"/>
      <c r="N124" s="117"/>
      <c r="O124" s="117"/>
      <c r="P124" s="117"/>
      <c r="Q124" s="117"/>
      <c r="R124" s="117"/>
    </row>
    <row r="125" spans="2:18" s="149" customFormat="1" ht="32.25" customHeight="1" x14ac:dyDescent="0.4">
      <c r="B125" s="297"/>
      <c r="C125" s="145"/>
      <c r="D125" s="145"/>
      <c r="E125" s="146"/>
      <c r="F125" s="144"/>
      <c r="G125" s="147"/>
      <c r="H125" s="148"/>
      <c r="I125" s="148"/>
      <c r="K125" s="117"/>
      <c r="L125" s="117"/>
      <c r="M125" s="117"/>
      <c r="N125" s="117"/>
      <c r="O125" s="117"/>
      <c r="P125" s="117"/>
      <c r="Q125" s="117"/>
      <c r="R125" s="117"/>
    </row>
    <row r="126" spans="2:18" s="149" customFormat="1" ht="32.25" customHeight="1" x14ac:dyDescent="0.4">
      <c r="B126" s="297"/>
      <c r="C126" s="145"/>
      <c r="D126" s="145"/>
      <c r="E126" s="146"/>
      <c r="F126" s="144"/>
      <c r="G126" s="147"/>
      <c r="H126" s="148"/>
      <c r="I126" s="148"/>
      <c r="K126" s="117"/>
      <c r="L126" s="117"/>
      <c r="M126" s="117"/>
      <c r="N126" s="117"/>
      <c r="O126" s="117"/>
      <c r="P126" s="117"/>
      <c r="Q126" s="117"/>
      <c r="R126" s="117"/>
    </row>
    <row r="127" spans="2:18" s="149" customFormat="1" ht="32.25" customHeight="1" x14ac:dyDescent="0.4">
      <c r="B127" s="297"/>
      <c r="C127" s="145"/>
      <c r="D127" s="145"/>
      <c r="E127" s="146"/>
      <c r="F127" s="144"/>
      <c r="G127" s="147"/>
      <c r="H127" s="148"/>
      <c r="I127" s="148"/>
      <c r="K127" s="117"/>
      <c r="L127" s="117"/>
      <c r="M127" s="117"/>
      <c r="N127" s="117"/>
      <c r="O127" s="117"/>
      <c r="P127" s="117"/>
      <c r="Q127" s="117"/>
      <c r="R127" s="117"/>
    </row>
    <row r="128" spans="2:18" s="149" customFormat="1" ht="32.25" customHeight="1" x14ac:dyDescent="0.4">
      <c r="B128" s="297"/>
      <c r="C128" s="145"/>
      <c r="D128" s="145"/>
      <c r="E128" s="146"/>
      <c r="F128" s="144"/>
      <c r="G128" s="147"/>
      <c r="H128" s="148"/>
      <c r="I128" s="148"/>
      <c r="K128" s="117"/>
      <c r="L128" s="117"/>
      <c r="M128" s="117"/>
      <c r="N128" s="117"/>
      <c r="O128" s="117"/>
      <c r="P128" s="117"/>
      <c r="Q128" s="117"/>
      <c r="R128" s="117"/>
    </row>
    <row r="129" spans="2:18" s="149" customFormat="1" ht="32.25" customHeight="1" x14ac:dyDescent="0.4">
      <c r="B129" s="297"/>
      <c r="C129" s="145"/>
      <c r="D129" s="145"/>
      <c r="E129" s="146"/>
      <c r="F129" s="144"/>
      <c r="G129" s="147"/>
      <c r="H129" s="148"/>
      <c r="I129" s="148"/>
      <c r="K129" s="117"/>
      <c r="L129" s="117"/>
      <c r="M129" s="117"/>
      <c r="N129" s="117"/>
      <c r="O129" s="117"/>
      <c r="P129" s="117"/>
      <c r="Q129" s="117"/>
      <c r="R129" s="117"/>
    </row>
    <row r="130" spans="2:18" s="149" customFormat="1" ht="32.25" customHeight="1" x14ac:dyDescent="0.4">
      <c r="B130" s="297"/>
      <c r="C130" s="145"/>
      <c r="D130" s="145"/>
      <c r="E130" s="146"/>
      <c r="F130" s="144"/>
      <c r="G130" s="147"/>
      <c r="H130" s="148"/>
      <c r="I130" s="148"/>
      <c r="K130" s="117"/>
      <c r="L130" s="117"/>
      <c r="M130" s="117"/>
      <c r="N130" s="117"/>
      <c r="O130" s="117"/>
      <c r="P130" s="117"/>
      <c r="Q130" s="117"/>
      <c r="R130" s="117"/>
    </row>
    <row r="131" spans="2:18" s="149" customFormat="1" ht="32.25" customHeight="1" x14ac:dyDescent="0.4">
      <c r="B131" s="297"/>
      <c r="C131" s="145"/>
      <c r="D131" s="145"/>
      <c r="E131" s="146"/>
      <c r="F131" s="144"/>
      <c r="G131" s="147"/>
      <c r="H131" s="148"/>
      <c r="I131" s="148"/>
      <c r="K131" s="117"/>
      <c r="L131" s="117"/>
      <c r="M131" s="117"/>
      <c r="N131" s="117"/>
      <c r="O131" s="117"/>
      <c r="P131" s="117"/>
      <c r="Q131" s="117"/>
      <c r="R131" s="117"/>
    </row>
    <row r="132" spans="2:18" s="149" customFormat="1" ht="32.25" customHeight="1" x14ac:dyDescent="0.4">
      <c r="B132" s="297"/>
      <c r="C132" s="145"/>
      <c r="D132" s="145"/>
      <c r="E132" s="146"/>
      <c r="F132" s="144"/>
      <c r="G132" s="147"/>
      <c r="H132" s="148"/>
      <c r="I132" s="148"/>
      <c r="K132" s="117"/>
      <c r="L132" s="117"/>
      <c r="M132" s="117"/>
      <c r="N132" s="117"/>
      <c r="O132" s="117"/>
      <c r="P132" s="117"/>
      <c r="Q132" s="117"/>
      <c r="R132" s="117"/>
    </row>
    <row r="133" spans="2:18" s="149" customFormat="1" ht="32.25" customHeight="1" x14ac:dyDescent="0.4">
      <c r="B133" s="297"/>
      <c r="C133" s="145"/>
      <c r="D133" s="145"/>
      <c r="E133" s="146"/>
      <c r="F133" s="144"/>
      <c r="G133" s="147"/>
      <c r="H133" s="148"/>
      <c r="I133" s="148"/>
      <c r="K133" s="117"/>
      <c r="L133" s="117"/>
      <c r="M133" s="117"/>
      <c r="N133" s="117"/>
      <c r="O133" s="117"/>
      <c r="P133" s="117"/>
      <c r="Q133" s="117"/>
      <c r="R133" s="117"/>
    </row>
    <row r="134" spans="2:18" s="149" customFormat="1" ht="32.25" customHeight="1" x14ac:dyDescent="0.4">
      <c r="B134" s="297"/>
      <c r="C134" s="145"/>
      <c r="D134" s="145"/>
      <c r="E134" s="146"/>
      <c r="F134" s="144"/>
      <c r="G134" s="147"/>
      <c r="H134" s="148"/>
      <c r="I134" s="148"/>
      <c r="K134" s="117"/>
      <c r="L134" s="117"/>
      <c r="M134" s="117"/>
      <c r="N134" s="117"/>
      <c r="O134" s="117"/>
      <c r="P134" s="117"/>
      <c r="Q134" s="117"/>
      <c r="R134" s="117"/>
    </row>
    <row r="135" spans="2:18" s="149" customFormat="1" ht="32.25" customHeight="1" x14ac:dyDescent="0.4">
      <c r="B135" s="297"/>
      <c r="C135" s="145"/>
      <c r="D135" s="145"/>
      <c r="E135" s="146"/>
      <c r="F135" s="144"/>
      <c r="G135" s="147"/>
      <c r="H135" s="148"/>
      <c r="I135" s="148"/>
      <c r="K135" s="117"/>
      <c r="L135" s="117"/>
      <c r="M135" s="117"/>
      <c r="N135" s="117"/>
      <c r="O135" s="117"/>
      <c r="P135" s="117"/>
      <c r="Q135" s="117"/>
      <c r="R135" s="117"/>
    </row>
    <row r="136" spans="2:18" s="149" customFormat="1" ht="32.25" customHeight="1" x14ac:dyDescent="0.4">
      <c r="B136" s="297"/>
      <c r="C136" s="145"/>
      <c r="D136" s="145"/>
      <c r="E136" s="146"/>
      <c r="F136" s="144"/>
      <c r="G136" s="147"/>
      <c r="H136" s="148"/>
      <c r="I136" s="148"/>
      <c r="K136" s="117"/>
      <c r="L136" s="117"/>
      <c r="M136" s="117"/>
      <c r="N136" s="117"/>
      <c r="O136" s="117"/>
      <c r="P136" s="117"/>
      <c r="Q136" s="117"/>
      <c r="R136" s="117"/>
    </row>
    <row r="137" spans="2:18" s="149" customFormat="1" ht="32.25" customHeight="1" x14ac:dyDescent="0.4">
      <c r="B137" s="297"/>
      <c r="C137" s="145"/>
      <c r="D137" s="145"/>
      <c r="E137" s="146"/>
      <c r="F137" s="144"/>
      <c r="G137" s="147"/>
      <c r="H137" s="148"/>
      <c r="I137" s="148"/>
      <c r="K137" s="117"/>
      <c r="L137" s="117"/>
      <c r="M137" s="117"/>
      <c r="N137" s="117"/>
      <c r="O137" s="117"/>
      <c r="P137" s="117"/>
      <c r="Q137" s="117"/>
      <c r="R137" s="117"/>
    </row>
    <row r="138" spans="2:18" s="149" customFormat="1" ht="32.25" customHeight="1" x14ac:dyDescent="0.4">
      <c r="B138" s="297"/>
      <c r="C138" s="145"/>
      <c r="D138" s="145"/>
      <c r="E138" s="146"/>
      <c r="F138" s="144"/>
      <c r="G138" s="147"/>
      <c r="H138" s="148"/>
      <c r="I138" s="148"/>
      <c r="K138" s="117"/>
      <c r="L138" s="117"/>
      <c r="M138" s="117"/>
      <c r="N138" s="117"/>
      <c r="O138" s="117"/>
      <c r="P138" s="117"/>
      <c r="Q138" s="117"/>
      <c r="R138" s="117"/>
    </row>
    <row r="139" spans="2:18" s="149" customFormat="1" ht="32.25" customHeight="1" x14ac:dyDescent="0.4">
      <c r="B139" s="297"/>
      <c r="C139" s="145"/>
      <c r="D139" s="145"/>
      <c r="E139" s="146"/>
      <c r="F139" s="144"/>
      <c r="G139" s="147"/>
      <c r="H139" s="148"/>
      <c r="I139" s="148"/>
      <c r="K139" s="117"/>
      <c r="L139" s="117"/>
      <c r="M139" s="117"/>
      <c r="N139" s="117"/>
      <c r="O139" s="117"/>
      <c r="P139" s="117"/>
      <c r="Q139" s="117"/>
      <c r="R139" s="117"/>
    </row>
    <row r="140" spans="2:18" s="149" customFormat="1" ht="32.25" customHeight="1" x14ac:dyDescent="0.4">
      <c r="B140" s="297"/>
      <c r="C140" s="145"/>
      <c r="D140" s="145"/>
      <c r="E140" s="146"/>
      <c r="F140" s="144"/>
      <c r="G140" s="147"/>
      <c r="H140" s="148"/>
      <c r="I140" s="148"/>
      <c r="K140" s="117"/>
      <c r="L140" s="117"/>
      <c r="M140" s="117"/>
      <c r="N140" s="117"/>
      <c r="O140" s="117"/>
      <c r="P140" s="117"/>
      <c r="Q140" s="117"/>
      <c r="R140" s="117"/>
    </row>
    <row r="141" spans="2:18" s="149" customFormat="1" ht="32.25" customHeight="1" x14ac:dyDescent="0.4">
      <c r="B141" s="297"/>
      <c r="C141" s="145"/>
      <c r="D141" s="145"/>
      <c r="E141" s="146"/>
      <c r="F141" s="144"/>
      <c r="G141" s="147"/>
      <c r="H141" s="148"/>
      <c r="I141" s="148"/>
      <c r="K141" s="117"/>
      <c r="L141" s="117"/>
      <c r="M141" s="117"/>
      <c r="N141" s="117"/>
      <c r="O141" s="117"/>
      <c r="P141" s="117"/>
      <c r="Q141" s="117"/>
      <c r="R141" s="117"/>
    </row>
    <row r="142" spans="2:18" s="149" customFormat="1" ht="32.25" customHeight="1" x14ac:dyDescent="0.4">
      <c r="B142" s="297"/>
      <c r="C142" s="145"/>
      <c r="D142" s="145"/>
      <c r="E142" s="146"/>
      <c r="F142" s="144"/>
      <c r="G142" s="147"/>
      <c r="H142" s="148"/>
      <c r="I142" s="148"/>
      <c r="K142" s="117"/>
      <c r="L142" s="117"/>
      <c r="M142" s="117"/>
      <c r="N142" s="117"/>
      <c r="O142" s="117"/>
      <c r="P142" s="117"/>
      <c r="Q142" s="117"/>
      <c r="R142" s="117"/>
    </row>
    <row r="143" spans="2:18" s="149" customFormat="1" ht="32.25" customHeight="1" x14ac:dyDescent="0.4">
      <c r="B143" s="297"/>
      <c r="C143" s="145"/>
      <c r="D143" s="145"/>
      <c r="E143" s="146"/>
      <c r="F143" s="144"/>
      <c r="G143" s="147"/>
      <c r="H143" s="148"/>
      <c r="I143" s="148"/>
      <c r="K143" s="117"/>
      <c r="L143" s="117"/>
      <c r="M143" s="117"/>
      <c r="N143" s="117"/>
      <c r="O143" s="117"/>
      <c r="P143" s="117"/>
      <c r="Q143" s="117"/>
      <c r="R143" s="117"/>
    </row>
    <row r="144" spans="2:18" s="149" customFormat="1" ht="32.25" customHeight="1" x14ac:dyDescent="0.4">
      <c r="B144" s="297"/>
      <c r="C144" s="145"/>
      <c r="D144" s="145"/>
      <c r="E144" s="146"/>
      <c r="F144" s="144"/>
      <c r="G144" s="147"/>
      <c r="H144" s="148"/>
      <c r="I144" s="148"/>
      <c r="K144" s="117"/>
      <c r="L144" s="117"/>
      <c r="M144" s="117"/>
      <c r="N144" s="117"/>
      <c r="O144" s="117"/>
      <c r="P144" s="117"/>
      <c r="Q144" s="117"/>
      <c r="R144" s="117"/>
    </row>
    <row r="145" spans="2:18" s="149" customFormat="1" ht="32.25" customHeight="1" x14ac:dyDescent="0.4">
      <c r="B145" s="297"/>
      <c r="C145" s="145"/>
      <c r="D145" s="145"/>
      <c r="E145" s="146"/>
      <c r="F145" s="144"/>
      <c r="G145" s="147"/>
      <c r="H145" s="148"/>
      <c r="I145" s="148"/>
      <c r="K145" s="117"/>
      <c r="L145" s="117"/>
      <c r="M145" s="117"/>
      <c r="N145" s="117"/>
      <c r="O145" s="117"/>
      <c r="P145" s="117"/>
      <c r="Q145" s="117"/>
      <c r="R145" s="117"/>
    </row>
    <row r="146" spans="2:18" s="149" customFormat="1" ht="32.25" customHeight="1" x14ac:dyDescent="0.4">
      <c r="B146" s="297"/>
      <c r="C146" s="145"/>
      <c r="D146" s="145"/>
      <c r="E146" s="146"/>
      <c r="F146" s="144"/>
      <c r="G146" s="147"/>
      <c r="H146" s="148"/>
      <c r="I146" s="148"/>
      <c r="K146" s="117"/>
      <c r="L146" s="117"/>
      <c r="M146" s="117"/>
      <c r="N146" s="117"/>
      <c r="O146" s="117"/>
      <c r="P146" s="117"/>
      <c r="Q146" s="117"/>
      <c r="R146" s="117"/>
    </row>
  </sheetData>
  <autoFilter ref="B2:J52" xr:uid="{00000000-0009-0000-0000-000002000000}">
    <filterColumn colId="1">
      <filters>
        <filter val="慶豐富"/>
      </filters>
    </filterColumn>
    <filterColumn colId="4">
      <filters>
        <filter val="TOYOTA"/>
      </filters>
    </filterColumn>
  </autoFilter>
  <phoneticPr fontId="2" type="noConversion"/>
  <printOptions horizontalCentered="1"/>
  <pageMargins left="0" right="0" top="0" bottom="0" header="0" footer="0"/>
  <pageSetup paperSize="9" scale="70" orientation="portrait" horizontalDpi="180" verticalDpi="18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theme="9"/>
  </sheetPr>
  <dimension ref="A1:K163"/>
  <sheetViews>
    <sheetView zoomScale="90" workbookViewId="0">
      <pane xSplit="5" ySplit="2" topLeftCell="F6" activePane="bottomRight" state="frozen"/>
      <selection pane="topRight" activeCell="E1" sqref="E1"/>
      <selection pane="bottomLeft" activeCell="A3" sqref="A3"/>
      <selection pane="bottomRight" activeCell="L8" sqref="L8"/>
    </sheetView>
  </sheetViews>
  <sheetFormatPr defaultColWidth="9" defaultRowHeight="32.25" customHeight="1" x14ac:dyDescent="0.4"/>
  <cols>
    <col min="1" max="1" width="5.453125" style="117" bestFit="1" customWidth="1"/>
    <col min="2" max="2" width="4.26953125" style="297" customWidth="1"/>
    <col min="3" max="3" width="11.08984375" style="146" customWidth="1"/>
    <col min="4" max="4" width="10.7265625" style="144" customWidth="1"/>
    <col min="5" max="5" width="27.90625" style="147" customWidth="1"/>
    <col min="6" max="6" width="10.7265625" style="144" customWidth="1"/>
    <col min="7" max="7" width="12.36328125" style="144" customWidth="1"/>
    <col min="8" max="8" width="13.26953125" style="149" bestFit="1" customWidth="1"/>
    <col min="9" max="16384" width="9" style="117"/>
  </cols>
  <sheetData>
    <row r="1" spans="1:9" ht="27.75" customHeight="1" x14ac:dyDescent="0.4">
      <c r="B1" s="798" t="s">
        <v>1268</v>
      </c>
      <c r="C1" s="798"/>
      <c r="D1" s="798"/>
      <c r="E1" s="798"/>
      <c r="F1" s="798"/>
      <c r="G1" s="798"/>
      <c r="H1" s="798"/>
    </row>
    <row r="2" spans="1:9" ht="27.75" customHeight="1" x14ac:dyDescent="0.4">
      <c r="A2" s="13" t="s">
        <v>1262</v>
      </c>
      <c r="B2" s="152" t="s">
        <v>1</v>
      </c>
      <c r="C2" s="15" t="s">
        <v>146</v>
      </c>
      <c r="D2" s="13" t="s">
        <v>102</v>
      </c>
      <c r="E2" s="15"/>
      <c r="F2" s="135" t="s">
        <v>159</v>
      </c>
      <c r="G2" s="135" t="s">
        <v>376</v>
      </c>
      <c r="H2" s="136" t="s">
        <v>3</v>
      </c>
      <c r="I2" s="117" t="s">
        <v>1147</v>
      </c>
    </row>
    <row r="3" spans="1:9" ht="32.25" customHeight="1" x14ac:dyDescent="0.4">
      <c r="A3" s="13">
        <v>1</v>
      </c>
      <c r="B3" s="155">
        <v>13</v>
      </c>
      <c r="C3" s="15" t="s">
        <v>14</v>
      </c>
      <c r="D3" s="13" t="s">
        <v>106</v>
      </c>
      <c r="E3" s="119" t="s">
        <v>107</v>
      </c>
      <c r="F3" s="135" t="s">
        <v>15</v>
      </c>
      <c r="G3" s="135" t="s">
        <v>379</v>
      </c>
      <c r="H3" s="109">
        <v>140000</v>
      </c>
    </row>
    <row r="4" spans="1:9" ht="32.25" customHeight="1" x14ac:dyDescent="0.4">
      <c r="A4" s="13">
        <v>2</v>
      </c>
      <c r="B4" s="155">
        <v>15</v>
      </c>
      <c r="C4" s="15" t="s">
        <v>746</v>
      </c>
      <c r="D4" s="13" t="s">
        <v>746</v>
      </c>
      <c r="E4" s="119" t="s">
        <v>17</v>
      </c>
      <c r="F4" s="135"/>
      <c r="G4" s="135" t="s">
        <v>1263</v>
      </c>
      <c r="H4" s="109">
        <v>230000</v>
      </c>
    </row>
    <row r="5" spans="1:9" ht="25.5" customHeight="1" x14ac:dyDescent="0.4">
      <c r="A5" s="13">
        <v>3</v>
      </c>
      <c r="B5" s="155">
        <v>16</v>
      </c>
      <c r="C5" s="15" t="s">
        <v>16</v>
      </c>
      <c r="D5" s="13" t="s">
        <v>16</v>
      </c>
      <c r="E5" s="119" t="s">
        <v>171</v>
      </c>
      <c r="F5" s="135"/>
      <c r="G5" s="135" t="s">
        <v>404</v>
      </c>
      <c r="H5" s="109">
        <v>220000</v>
      </c>
    </row>
    <row r="6" spans="1:9" ht="32.25" customHeight="1" x14ac:dyDescent="0.4">
      <c r="A6" s="13">
        <v>4</v>
      </c>
      <c r="B6" s="155">
        <v>19</v>
      </c>
      <c r="C6" s="15" t="s">
        <v>11</v>
      </c>
      <c r="D6" s="13" t="s">
        <v>105</v>
      </c>
      <c r="E6" s="16" t="s">
        <v>371</v>
      </c>
      <c r="F6" s="135"/>
      <c r="G6" s="135" t="s">
        <v>380</v>
      </c>
      <c r="H6" s="109">
        <v>210000</v>
      </c>
    </row>
    <row r="7" spans="1:9" ht="32.25" customHeight="1" x14ac:dyDescent="0.4">
      <c r="A7" s="13">
        <v>5</v>
      </c>
      <c r="B7" s="152">
        <v>21</v>
      </c>
      <c r="C7" s="14" t="s">
        <v>11</v>
      </c>
      <c r="D7" s="14" t="s">
        <v>104</v>
      </c>
      <c r="E7" s="137" t="s">
        <v>117</v>
      </c>
      <c r="F7" s="14" t="s">
        <v>369</v>
      </c>
      <c r="G7" s="14" t="s">
        <v>407</v>
      </c>
      <c r="H7" s="109">
        <v>200000</v>
      </c>
    </row>
    <row r="8" spans="1:9" ht="32.25" customHeight="1" x14ac:dyDescent="0.4">
      <c r="A8" s="13">
        <v>6</v>
      </c>
      <c r="B8" s="155">
        <v>22</v>
      </c>
      <c r="C8" s="15" t="s">
        <v>14</v>
      </c>
      <c r="D8" s="13" t="s">
        <v>108</v>
      </c>
      <c r="E8" s="119" t="s">
        <v>372</v>
      </c>
      <c r="F8" s="13" t="s">
        <v>26</v>
      </c>
      <c r="G8" s="13" t="s">
        <v>384</v>
      </c>
      <c r="H8" s="109">
        <v>380000</v>
      </c>
    </row>
    <row r="9" spans="1:9" ht="32.25" customHeight="1" x14ac:dyDescent="0.4">
      <c r="A9" s="13">
        <v>7</v>
      </c>
      <c r="B9" s="155">
        <v>31</v>
      </c>
      <c r="C9" s="4" t="s">
        <v>11</v>
      </c>
      <c r="D9" s="5" t="s">
        <v>105</v>
      </c>
      <c r="E9" s="36" t="s">
        <v>119</v>
      </c>
      <c r="F9" s="526" t="s">
        <v>1518</v>
      </c>
      <c r="G9" s="13"/>
      <c r="H9" s="109">
        <v>160000</v>
      </c>
    </row>
    <row r="10" spans="1:9" ht="32.25" customHeight="1" x14ac:dyDescent="0.4">
      <c r="A10" s="13">
        <v>8</v>
      </c>
      <c r="B10" s="155">
        <v>39</v>
      </c>
      <c r="C10" s="15" t="s">
        <v>152</v>
      </c>
      <c r="D10" s="13" t="s">
        <v>152</v>
      </c>
      <c r="E10" s="119" t="s">
        <v>86</v>
      </c>
      <c r="F10" s="135" t="s">
        <v>28</v>
      </c>
      <c r="G10" s="135" t="s">
        <v>399</v>
      </c>
      <c r="H10" s="109">
        <v>200000</v>
      </c>
    </row>
    <row r="11" spans="1:9" ht="32.25" customHeight="1" x14ac:dyDescent="0.4">
      <c r="A11" s="13">
        <v>9</v>
      </c>
      <c r="B11" s="462">
        <v>60</v>
      </c>
      <c r="C11" s="138" t="s">
        <v>14</v>
      </c>
      <c r="D11" s="139" t="s">
        <v>105</v>
      </c>
      <c r="E11" s="143" t="s">
        <v>1189</v>
      </c>
      <c r="F11" s="140">
        <v>41403</v>
      </c>
      <c r="G11" s="116"/>
      <c r="H11" s="109">
        <v>330000</v>
      </c>
    </row>
    <row r="12" spans="1:9" ht="32.25" customHeight="1" x14ac:dyDescent="0.4">
      <c r="A12" s="13">
        <v>10</v>
      </c>
      <c r="B12" s="155">
        <v>71</v>
      </c>
      <c r="C12" s="15" t="s">
        <v>14</v>
      </c>
      <c r="D12" s="13" t="s">
        <v>105</v>
      </c>
      <c r="E12" s="119" t="s">
        <v>375</v>
      </c>
      <c r="F12" s="116">
        <v>41513</v>
      </c>
      <c r="G12" s="13" t="s">
        <v>386</v>
      </c>
      <c r="H12" s="109">
        <v>330000</v>
      </c>
    </row>
    <row r="13" spans="1:9" ht="32.25" customHeight="1" x14ac:dyDescent="0.4">
      <c r="A13" s="13">
        <v>11</v>
      </c>
      <c r="B13" s="155">
        <v>75</v>
      </c>
      <c r="C13" s="15" t="s">
        <v>11</v>
      </c>
      <c r="D13" s="13" t="s">
        <v>105</v>
      </c>
      <c r="E13" s="119" t="s">
        <v>131</v>
      </c>
      <c r="F13" s="116">
        <v>41563</v>
      </c>
      <c r="G13" s="150" t="s">
        <v>389</v>
      </c>
      <c r="H13" s="109">
        <v>270000</v>
      </c>
    </row>
    <row r="14" spans="1:9" ht="32.25" customHeight="1" x14ac:dyDescent="0.4">
      <c r="A14" s="13">
        <v>12</v>
      </c>
      <c r="B14" s="155">
        <v>81</v>
      </c>
      <c r="C14" s="15" t="s">
        <v>11</v>
      </c>
      <c r="D14" s="13" t="s">
        <v>105</v>
      </c>
      <c r="E14" s="119" t="s">
        <v>143</v>
      </c>
      <c r="F14" s="116">
        <v>41604</v>
      </c>
      <c r="G14" s="150" t="s">
        <v>392</v>
      </c>
      <c r="H14" s="109">
        <v>200000</v>
      </c>
    </row>
    <row r="15" spans="1:9" ht="32.25" customHeight="1" x14ac:dyDescent="0.4">
      <c r="A15" s="13">
        <v>13</v>
      </c>
      <c r="B15" s="155">
        <v>85</v>
      </c>
      <c r="C15" s="15" t="s">
        <v>11</v>
      </c>
      <c r="D15" s="13" t="s">
        <v>105</v>
      </c>
      <c r="E15" s="119" t="s">
        <v>169</v>
      </c>
      <c r="F15" s="116">
        <v>41641</v>
      </c>
      <c r="G15" s="150" t="s">
        <v>394</v>
      </c>
      <c r="H15" s="109">
        <v>200000</v>
      </c>
    </row>
    <row r="16" spans="1:9" ht="32.25" customHeight="1" x14ac:dyDescent="0.4">
      <c r="A16" s="13">
        <v>14</v>
      </c>
      <c r="B16" s="155">
        <v>91</v>
      </c>
      <c r="C16" s="15" t="s">
        <v>16</v>
      </c>
      <c r="D16" s="13" t="s">
        <v>16</v>
      </c>
      <c r="E16" s="119" t="s">
        <v>182</v>
      </c>
      <c r="F16" s="116">
        <v>41682</v>
      </c>
      <c r="G16" s="13" t="s">
        <v>396</v>
      </c>
      <c r="H16" s="109">
        <v>200000</v>
      </c>
    </row>
    <row r="17" spans="1:10" s="141" customFormat="1" ht="32.25" customHeight="1" x14ac:dyDescent="0.4">
      <c r="A17" s="13">
        <v>15</v>
      </c>
      <c r="B17" s="155">
        <v>97</v>
      </c>
      <c r="C17" s="138" t="s">
        <v>14</v>
      </c>
      <c r="D17" s="139" t="s">
        <v>104</v>
      </c>
      <c r="E17" s="143" t="s">
        <v>209</v>
      </c>
      <c r="F17" s="140" t="s">
        <v>193</v>
      </c>
      <c r="G17" s="13" t="s">
        <v>398</v>
      </c>
      <c r="H17" s="109">
        <v>280000</v>
      </c>
      <c r="I17" s="117"/>
      <c r="J17" s="117"/>
    </row>
    <row r="18" spans="1:10" ht="32.25" customHeight="1" x14ac:dyDescent="0.4">
      <c r="A18" s="13">
        <v>16</v>
      </c>
      <c r="B18" s="462">
        <v>108</v>
      </c>
      <c r="C18" s="14" t="s">
        <v>285</v>
      </c>
      <c r="D18" s="14" t="s">
        <v>285</v>
      </c>
      <c r="E18" s="137" t="s">
        <v>286</v>
      </c>
      <c r="F18" s="14" t="s">
        <v>287</v>
      </c>
      <c r="G18" s="13" t="s">
        <v>400</v>
      </c>
      <c r="H18" s="109">
        <v>210000</v>
      </c>
    </row>
    <row r="19" spans="1:10" ht="32.25" customHeight="1" x14ac:dyDescent="0.4">
      <c r="A19" s="13">
        <v>17</v>
      </c>
      <c r="B19" s="155">
        <v>112</v>
      </c>
      <c r="C19" s="14" t="s">
        <v>11</v>
      </c>
      <c r="D19" s="14" t="s">
        <v>104</v>
      </c>
      <c r="E19" s="137" t="s">
        <v>1377</v>
      </c>
      <c r="F19" s="14" t="s">
        <v>259</v>
      </c>
      <c r="G19" s="13" t="s">
        <v>385</v>
      </c>
      <c r="H19" s="109">
        <v>250000</v>
      </c>
    </row>
    <row r="20" spans="1:10" ht="32.25" customHeight="1" x14ac:dyDescent="0.4">
      <c r="A20" s="13">
        <v>18</v>
      </c>
      <c r="B20" s="155">
        <v>113</v>
      </c>
      <c r="C20" s="15" t="s">
        <v>14</v>
      </c>
      <c r="D20" s="13" t="s">
        <v>104</v>
      </c>
      <c r="E20" s="119" t="s">
        <v>263</v>
      </c>
      <c r="F20" s="116" t="s">
        <v>264</v>
      </c>
      <c r="G20" s="13" t="s">
        <v>395</v>
      </c>
      <c r="H20" s="109">
        <v>300000</v>
      </c>
    </row>
    <row r="21" spans="1:10" ht="32.25" customHeight="1" x14ac:dyDescent="0.4">
      <c r="A21" s="13">
        <v>19</v>
      </c>
      <c r="B21" s="155">
        <v>116</v>
      </c>
      <c r="C21" s="15" t="s">
        <v>16</v>
      </c>
      <c r="D21" s="13" t="s">
        <v>105</v>
      </c>
      <c r="E21" s="119" t="s">
        <v>1258</v>
      </c>
      <c r="F21" s="116" t="s">
        <v>288</v>
      </c>
      <c r="G21" s="13" t="s">
        <v>401</v>
      </c>
      <c r="H21" s="109">
        <v>240000</v>
      </c>
    </row>
    <row r="22" spans="1:10" ht="32.25" customHeight="1" x14ac:dyDescent="0.4">
      <c r="A22" s="13">
        <v>20</v>
      </c>
      <c r="B22" s="5">
        <v>121</v>
      </c>
      <c r="C22" s="15" t="s">
        <v>11</v>
      </c>
      <c r="D22" s="13" t="s">
        <v>108</v>
      </c>
      <c r="E22" s="119" t="s">
        <v>281</v>
      </c>
      <c r="F22" s="116" t="s">
        <v>272</v>
      </c>
      <c r="G22" s="13" t="s">
        <v>402</v>
      </c>
      <c r="H22" s="109">
        <v>200000</v>
      </c>
    </row>
    <row r="23" spans="1:10" ht="32.25" customHeight="1" x14ac:dyDescent="0.4">
      <c r="A23" s="13">
        <v>21</v>
      </c>
      <c r="B23" s="463">
        <v>129</v>
      </c>
      <c r="C23" s="120" t="s">
        <v>14</v>
      </c>
      <c r="D23" s="120" t="s">
        <v>105</v>
      </c>
      <c r="E23" s="119" t="s">
        <v>337</v>
      </c>
      <c r="F23" s="116" t="s">
        <v>329</v>
      </c>
      <c r="G23" s="3" t="s">
        <v>399</v>
      </c>
      <c r="H23" s="109">
        <v>310000</v>
      </c>
    </row>
    <row r="24" spans="1:10" ht="32.25" customHeight="1" x14ac:dyDescent="0.4">
      <c r="A24" s="13">
        <v>22</v>
      </c>
      <c r="B24" s="155">
        <v>140</v>
      </c>
      <c r="C24" s="15" t="s">
        <v>16</v>
      </c>
      <c r="D24" s="13" t="s">
        <v>16</v>
      </c>
      <c r="E24" s="119" t="s">
        <v>415</v>
      </c>
      <c r="F24" s="116" t="s">
        <v>412</v>
      </c>
      <c r="G24" s="13"/>
      <c r="H24" s="109">
        <v>215000</v>
      </c>
    </row>
    <row r="25" spans="1:10" ht="32.25" customHeight="1" x14ac:dyDescent="0.4">
      <c r="A25" s="13">
        <v>23</v>
      </c>
      <c r="B25" s="155">
        <v>141</v>
      </c>
      <c r="C25" s="15" t="s">
        <v>16</v>
      </c>
      <c r="D25" s="13" t="s">
        <v>16</v>
      </c>
      <c r="E25" s="119" t="s">
        <v>416</v>
      </c>
      <c r="F25" s="116" t="s">
        <v>412</v>
      </c>
      <c r="G25" s="13"/>
      <c r="H25" s="109">
        <v>215000</v>
      </c>
    </row>
    <row r="26" spans="1:10" ht="32.25" customHeight="1" x14ac:dyDescent="0.4">
      <c r="A26" s="13">
        <v>24</v>
      </c>
      <c r="B26" s="155">
        <v>144</v>
      </c>
      <c r="C26" s="4" t="s">
        <v>9</v>
      </c>
      <c r="D26" s="5" t="s">
        <v>466</v>
      </c>
      <c r="E26" s="36" t="s">
        <v>467</v>
      </c>
      <c r="F26" s="34" t="s">
        <v>468</v>
      </c>
      <c r="G26" s="114"/>
      <c r="H26" s="110">
        <v>160000</v>
      </c>
    </row>
    <row r="27" spans="1:10" ht="32.25" customHeight="1" x14ac:dyDescent="0.4">
      <c r="A27" s="13">
        <v>25</v>
      </c>
      <c r="B27" s="5">
        <v>149</v>
      </c>
      <c r="C27" s="4" t="s">
        <v>11</v>
      </c>
      <c r="D27" s="5" t="s">
        <v>105</v>
      </c>
      <c r="E27" s="36" t="s">
        <v>493</v>
      </c>
      <c r="F27" s="34" t="s">
        <v>492</v>
      </c>
      <c r="G27" s="114"/>
      <c r="H27" s="110">
        <v>210000</v>
      </c>
    </row>
    <row r="28" spans="1:10" ht="32.25" customHeight="1" x14ac:dyDescent="0.4">
      <c r="A28" s="13">
        <v>26</v>
      </c>
      <c r="B28" s="5">
        <v>164</v>
      </c>
      <c r="C28" s="4" t="s">
        <v>11</v>
      </c>
      <c r="D28" s="5" t="s">
        <v>105</v>
      </c>
      <c r="E28" s="36" t="s">
        <v>571</v>
      </c>
      <c r="F28" s="34" t="s">
        <v>561</v>
      </c>
      <c r="G28" s="33">
        <v>1999.02</v>
      </c>
      <c r="H28" s="110">
        <v>290000</v>
      </c>
    </row>
    <row r="29" spans="1:10" ht="32.25" customHeight="1" x14ac:dyDescent="0.4">
      <c r="A29" s="13">
        <v>27</v>
      </c>
      <c r="B29" s="5">
        <v>166</v>
      </c>
      <c r="C29" s="4" t="s">
        <v>11</v>
      </c>
      <c r="D29" s="5" t="s">
        <v>105</v>
      </c>
      <c r="E29" s="36" t="s">
        <v>567</v>
      </c>
      <c r="F29" s="34" t="s">
        <v>561</v>
      </c>
      <c r="G29" s="33">
        <v>2002.11</v>
      </c>
      <c r="H29" s="110">
        <v>290000</v>
      </c>
    </row>
    <row r="30" spans="1:10" ht="32.25" customHeight="1" x14ac:dyDescent="0.4">
      <c r="A30" s="13">
        <v>28</v>
      </c>
      <c r="B30" s="5">
        <v>171</v>
      </c>
      <c r="C30" s="4" t="s">
        <v>591</v>
      </c>
      <c r="D30" s="5" t="s">
        <v>589</v>
      </c>
      <c r="E30" s="36" t="s">
        <v>590</v>
      </c>
      <c r="F30" s="34" t="s">
        <v>586</v>
      </c>
      <c r="G30" s="298">
        <v>2002.1</v>
      </c>
      <c r="H30" s="110">
        <v>280000</v>
      </c>
    </row>
    <row r="31" spans="1:10" ht="32.25" customHeight="1" x14ac:dyDescent="0.4">
      <c r="A31" s="13">
        <v>29</v>
      </c>
      <c r="B31" s="155">
        <v>180</v>
      </c>
      <c r="C31" s="4" t="s">
        <v>9</v>
      </c>
      <c r="D31" s="155" t="s">
        <v>323</v>
      </c>
      <c r="E31" s="36" t="s">
        <v>616</v>
      </c>
      <c r="F31" s="34" t="s">
        <v>617</v>
      </c>
      <c r="G31" s="33"/>
      <c r="H31" s="110">
        <v>250000</v>
      </c>
    </row>
    <row r="32" spans="1:10" ht="32.25" customHeight="1" x14ac:dyDescent="0.4">
      <c r="A32" s="13">
        <v>30</v>
      </c>
      <c r="B32" s="5">
        <v>187</v>
      </c>
      <c r="C32" s="172" t="s">
        <v>11</v>
      </c>
      <c r="D32" s="5" t="s">
        <v>105</v>
      </c>
      <c r="E32" s="36" t="s">
        <v>648</v>
      </c>
      <c r="F32" s="34" t="s">
        <v>649</v>
      </c>
      <c r="G32" s="301">
        <v>2003.04</v>
      </c>
      <c r="H32" s="110">
        <v>210000</v>
      </c>
    </row>
    <row r="33" spans="1:11" ht="32.25" customHeight="1" x14ac:dyDescent="0.4">
      <c r="A33" s="13">
        <v>31</v>
      </c>
      <c r="B33" s="5">
        <v>188</v>
      </c>
      <c r="C33" s="4" t="s">
        <v>14</v>
      </c>
      <c r="D33" s="5" t="s">
        <v>103</v>
      </c>
      <c r="E33" s="36" t="s">
        <v>658</v>
      </c>
      <c r="F33" s="34" t="s">
        <v>655</v>
      </c>
      <c r="G33" s="33"/>
      <c r="H33" s="110">
        <v>200000</v>
      </c>
    </row>
    <row r="34" spans="1:11" ht="32.25" customHeight="1" x14ac:dyDescent="0.4">
      <c r="A34" s="13">
        <v>32</v>
      </c>
      <c r="B34" s="155">
        <v>191</v>
      </c>
      <c r="C34" s="33" t="s">
        <v>9</v>
      </c>
      <c r="D34" s="33" t="s">
        <v>235</v>
      </c>
      <c r="E34" s="36" t="s">
        <v>1130</v>
      </c>
      <c r="F34" s="34" t="s">
        <v>1131</v>
      </c>
      <c r="G34" s="33" t="s">
        <v>756</v>
      </c>
      <c r="H34" s="110">
        <v>540000</v>
      </c>
    </row>
    <row r="35" spans="1:11" ht="32.25" customHeight="1" x14ac:dyDescent="0.4">
      <c r="A35" s="13">
        <v>33</v>
      </c>
      <c r="B35" s="155">
        <v>192</v>
      </c>
      <c r="C35" s="33" t="s">
        <v>490</v>
      </c>
      <c r="D35" s="33" t="s">
        <v>700</v>
      </c>
      <c r="E35" s="36" t="s">
        <v>1129</v>
      </c>
      <c r="F35" s="34" t="s">
        <v>701</v>
      </c>
      <c r="G35" s="33"/>
      <c r="H35" s="110">
        <v>180000</v>
      </c>
    </row>
    <row r="36" spans="1:11" ht="32.25" customHeight="1" x14ac:dyDescent="0.4">
      <c r="A36" s="13">
        <v>34</v>
      </c>
      <c r="B36" s="155">
        <v>204</v>
      </c>
      <c r="C36" s="172" t="s">
        <v>483</v>
      </c>
      <c r="D36" s="155" t="s">
        <v>741</v>
      </c>
      <c r="E36" s="180" t="s">
        <v>1035</v>
      </c>
      <c r="F36" s="34" t="s">
        <v>759</v>
      </c>
      <c r="G36" s="33"/>
      <c r="H36" s="110">
        <v>200000</v>
      </c>
    </row>
    <row r="37" spans="1:11" ht="32.25" customHeight="1" x14ac:dyDescent="0.4">
      <c r="A37" s="13">
        <v>35</v>
      </c>
      <c r="B37" s="155">
        <v>205</v>
      </c>
      <c r="C37" s="172" t="s">
        <v>9</v>
      </c>
      <c r="D37" s="155" t="s">
        <v>105</v>
      </c>
      <c r="E37" s="180" t="s">
        <v>751</v>
      </c>
      <c r="F37" s="177" t="s">
        <v>752</v>
      </c>
      <c r="G37" s="33"/>
      <c r="H37" s="110">
        <v>250000</v>
      </c>
    </row>
    <row r="38" spans="1:11" ht="32.25" customHeight="1" x14ac:dyDescent="0.4">
      <c r="A38" s="13">
        <v>36</v>
      </c>
      <c r="B38" s="155">
        <v>206</v>
      </c>
      <c r="C38" s="4" t="s">
        <v>9</v>
      </c>
      <c r="D38" s="5" t="s">
        <v>105</v>
      </c>
      <c r="E38" s="36" t="s">
        <v>774</v>
      </c>
      <c r="F38" s="34" t="s">
        <v>775</v>
      </c>
      <c r="G38" s="188"/>
      <c r="H38" s="110">
        <v>350000</v>
      </c>
    </row>
    <row r="39" spans="1:11" ht="32.25" customHeight="1" x14ac:dyDescent="0.4">
      <c r="A39" s="13">
        <v>37</v>
      </c>
      <c r="B39" s="155">
        <v>211</v>
      </c>
      <c r="C39" s="4" t="s">
        <v>833</v>
      </c>
      <c r="D39" s="4" t="s">
        <v>235</v>
      </c>
      <c r="E39" s="36" t="s">
        <v>832</v>
      </c>
      <c r="F39" s="34" t="s">
        <v>834</v>
      </c>
      <c r="G39" s="188"/>
      <c r="H39" s="110">
        <v>380000</v>
      </c>
    </row>
    <row r="40" spans="1:11" ht="32.25" customHeight="1" x14ac:dyDescent="0.4">
      <c r="A40" s="13">
        <v>38</v>
      </c>
      <c r="B40" s="5">
        <v>216</v>
      </c>
      <c r="C40" s="4" t="s">
        <v>483</v>
      </c>
      <c r="D40" s="5" t="s">
        <v>108</v>
      </c>
      <c r="E40" s="36" t="s">
        <v>797</v>
      </c>
      <c r="F40" s="34" t="s">
        <v>798</v>
      </c>
      <c r="G40" s="376"/>
      <c r="H40" s="110">
        <v>330000</v>
      </c>
    </row>
    <row r="41" spans="1:11" ht="32.25" customHeight="1" x14ac:dyDescent="0.4">
      <c r="A41" s="13">
        <v>39</v>
      </c>
      <c r="B41" s="5">
        <v>218</v>
      </c>
      <c r="C41" s="4" t="s">
        <v>795</v>
      </c>
      <c r="D41" s="5" t="s">
        <v>796</v>
      </c>
      <c r="E41" s="36" t="s">
        <v>809</v>
      </c>
      <c r="F41" s="34" t="s">
        <v>798</v>
      </c>
      <c r="G41" s="116"/>
      <c r="H41" s="110">
        <v>330000</v>
      </c>
    </row>
    <row r="42" spans="1:11" ht="32.25" customHeight="1" x14ac:dyDescent="0.4">
      <c r="A42" s="13">
        <v>40</v>
      </c>
      <c r="B42" s="5">
        <v>221</v>
      </c>
      <c r="C42" s="4" t="s">
        <v>9</v>
      </c>
      <c r="D42" s="5" t="s">
        <v>235</v>
      </c>
      <c r="E42" s="36" t="s">
        <v>838</v>
      </c>
      <c r="F42" s="177" t="s">
        <v>841</v>
      </c>
      <c r="G42" s="188" t="s">
        <v>840</v>
      </c>
      <c r="H42" s="110">
        <v>670000</v>
      </c>
    </row>
    <row r="43" spans="1:11" ht="32.25" customHeight="1" x14ac:dyDescent="0.4">
      <c r="A43" s="13">
        <v>41</v>
      </c>
      <c r="B43" s="5">
        <v>222</v>
      </c>
      <c r="C43" s="4" t="s">
        <v>1439</v>
      </c>
      <c r="D43" s="5" t="s">
        <v>1440</v>
      </c>
      <c r="E43" s="36" t="s">
        <v>1441</v>
      </c>
      <c r="F43" s="6" t="s">
        <v>1442</v>
      </c>
      <c r="G43" s="188">
        <v>2012.01</v>
      </c>
      <c r="H43" s="108">
        <v>580000</v>
      </c>
    </row>
    <row r="44" spans="1:11" s="2" customFormat="1" ht="32.25" customHeight="1" x14ac:dyDescent="0.4">
      <c r="A44" s="13">
        <v>42</v>
      </c>
      <c r="B44" s="5">
        <v>225</v>
      </c>
      <c r="C44" s="4" t="s">
        <v>483</v>
      </c>
      <c r="D44" s="5" t="s">
        <v>323</v>
      </c>
      <c r="E44" s="36" t="s">
        <v>842</v>
      </c>
      <c r="F44" s="34" t="s">
        <v>843</v>
      </c>
      <c r="G44" s="116"/>
      <c r="H44" s="109">
        <v>380000</v>
      </c>
      <c r="I44" s="117"/>
      <c r="J44" s="117"/>
      <c r="K44" s="117"/>
    </row>
    <row r="45" spans="1:11" ht="32.25" customHeight="1" x14ac:dyDescent="0.4">
      <c r="A45" s="13">
        <v>43</v>
      </c>
      <c r="B45" s="5">
        <v>227</v>
      </c>
      <c r="C45" s="4" t="s">
        <v>9</v>
      </c>
      <c r="D45" s="5" t="s">
        <v>857</v>
      </c>
      <c r="E45" s="36" t="s">
        <v>1261</v>
      </c>
      <c r="F45" s="177" t="s">
        <v>858</v>
      </c>
      <c r="G45" s="188"/>
      <c r="H45" s="110">
        <v>160000</v>
      </c>
    </row>
    <row r="46" spans="1:11" ht="32.25" customHeight="1" x14ac:dyDescent="0.4">
      <c r="A46" s="13">
        <v>44</v>
      </c>
      <c r="B46" s="5">
        <v>232</v>
      </c>
      <c r="C46" s="4" t="s">
        <v>483</v>
      </c>
      <c r="D46" s="5" t="s">
        <v>103</v>
      </c>
      <c r="E46" s="36" t="s">
        <v>1588</v>
      </c>
      <c r="F46" s="34" t="s">
        <v>896</v>
      </c>
      <c r="G46" s="562" t="s">
        <v>1616</v>
      </c>
      <c r="H46" s="109">
        <v>400000</v>
      </c>
    </row>
    <row r="47" spans="1:11" ht="32.25" customHeight="1" x14ac:dyDescent="0.4">
      <c r="A47" s="13">
        <v>45</v>
      </c>
      <c r="B47" s="155">
        <v>239</v>
      </c>
      <c r="C47" s="4" t="s">
        <v>633</v>
      </c>
      <c r="D47" s="5" t="s">
        <v>105</v>
      </c>
      <c r="E47" s="36" t="s">
        <v>941</v>
      </c>
      <c r="F47" s="34" t="s">
        <v>914</v>
      </c>
      <c r="G47" s="394" t="s">
        <v>967</v>
      </c>
      <c r="H47" s="109">
        <v>770000</v>
      </c>
    </row>
    <row r="48" spans="1:11" ht="32.25" customHeight="1" x14ac:dyDescent="0.4">
      <c r="A48" s="13">
        <v>46</v>
      </c>
      <c r="B48" s="155">
        <v>241</v>
      </c>
      <c r="C48" s="4" t="s">
        <v>9</v>
      </c>
      <c r="D48" s="5" t="s">
        <v>105</v>
      </c>
      <c r="E48" s="36" t="s">
        <v>932</v>
      </c>
      <c r="F48" s="34" t="s">
        <v>924</v>
      </c>
      <c r="G48" s="394" t="s">
        <v>925</v>
      </c>
      <c r="H48" s="109">
        <v>750000</v>
      </c>
    </row>
    <row r="49" spans="1:8" ht="32.25" customHeight="1" x14ac:dyDescent="0.4">
      <c r="A49" s="13">
        <v>47</v>
      </c>
      <c r="B49" s="455">
        <v>246</v>
      </c>
      <c r="C49" s="4" t="s">
        <v>633</v>
      </c>
      <c r="D49" s="4" t="s">
        <v>235</v>
      </c>
      <c r="E49" s="36" t="s">
        <v>1132</v>
      </c>
      <c r="F49" s="34" t="s">
        <v>1133</v>
      </c>
      <c r="G49" s="188" t="s">
        <v>1134</v>
      </c>
      <c r="H49" s="108">
        <v>520000</v>
      </c>
    </row>
    <row r="50" spans="1:8" ht="32.25" customHeight="1" x14ac:dyDescent="0.4">
      <c r="A50" s="13">
        <v>48</v>
      </c>
      <c r="B50" s="5">
        <v>252</v>
      </c>
      <c r="C50" s="172" t="s">
        <v>11</v>
      </c>
      <c r="D50" s="155" t="s">
        <v>105</v>
      </c>
      <c r="E50" s="180" t="s">
        <v>707</v>
      </c>
      <c r="F50" s="177" t="s">
        <v>1010</v>
      </c>
      <c r="G50" s="123"/>
      <c r="H50" s="109">
        <v>280000</v>
      </c>
    </row>
    <row r="51" spans="1:8" ht="32.25" customHeight="1" x14ac:dyDescent="0.4">
      <c r="A51" s="13">
        <v>49</v>
      </c>
      <c r="B51" s="5">
        <v>253</v>
      </c>
      <c r="C51" s="172" t="s">
        <v>11</v>
      </c>
      <c r="D51" s="155" t="s">
        <v>105</v>
      </c>
      <c r="E51" s="180" t="s">
        <v>708</v>
      </c>
      <c r="F51" s="177" t="s">
        <v>1010</v>
      </c>
      <c r="G51" s="123"/>
      <c r="H51" s="109">
        <v>280000</v>
      </c>
    </row>
    <row r="52" spans="1:8" ht="32.25" customHeight="1" x14ac:dyDescent="0.4">
      <c r="A52" s="13">
        <v>50</v>
      </c>
      <c r="B52" s="5">
        <v>255</v>
      </c>
      <c r="C52" s="172" t="s">
        <v>11</v>
      </c>
      <c r="D52" s="155" t="s">
        <v>105</v>
      </c>
      <c r="E52" s="36" t="s">
        <v>1022</v>
      </c>
      <c r="F52" s="34" t="s">
        <v>1023</v>
      </c>
      <c r="G52" s="123"/>
      <c r="H52" s="109">
        <v>200000</v>
      </c>
    </row>
    <row r="53" spans="1:8" ht="32.25" customHeight="1" x14ac:dyDescent="0.4">
      <c r="A53" s="13">
        <v>51</v>
      </c>
      <c r="B53" s="5">
        <v>258</v>
      </c>
      <c r="C53" s="4" t="s">
        <v>1107</v>
      </c>
      <c r="D53" s="5" t="s">
        <v>108</v>
      </c>
      <c r="E53" s="36" t="s">
        <v>1109</v>
      </c>
      <c r="F53" s="34" t="s">
        <v>1108</v>
      </c>
      <c r="G53" s="123"/>
      <c r="H53" s="109">
        <v>1500000</v>
      </c>
    </row>
    <row r="54" spans="1:8" ht="32.25" customHeight="1" x14ac:dyDescent="0.4">
      <c r="A54" s="13">
        <v>52</v>
      </c>
      <c r="B54" s="5">
        <v>260</v>
      </c>
      <c r="C54" s="4" t="s">
        <v>1137</v>
      </c>
      <c r="D54" s="5" t="s">
        <v>1138</v>
      </c>
      <c r="E54" s="36" t="s">
        <v>1173</v>
      </c>
      <c r="F54" s="34" t="s">
        <v>1139</v>
      </c>
      <c r="G54" s="123">
        <v>2007.08</v>
      </c>
      <c r="H54" s="108">
        <v>170000</v>
      </c>
    </row>
    <row r="55" spans="1:8" ht="32.25" customHeight="1" x14ac:dyDescent="0.4">
      <c r="A55" s="13">
        <v>53</v>
      </c>
      <c r="B55" s="5">
        <v>262</v>
      </c>
      <c r="C55" s="4" t="s">
        <v>1152</v>
      </c>
      <c r="D55" s="5" t="s">
        <v>105</v>
      </c>
      <c r="E55" s="36" t="s">
        <v>1153</v>
      </c>
      <c r="F55" s="34" t="s">
        <v>1150</v>
      </c>
      <c r="G55" s="394" t="s">
        <v>1154</v>
      </c>
      <c r="H55" s="108">
        <v>400000</v>
      </c>
    </row>
    <row r="56" spans="1:8" ht="32.25" customHeight="1" x14ac:dyDescent="0.4">
      <c r="A56" s="13">
        <v>54</v>
      </c>
      <c r="B56" s="5">
        <v>266</v>
      </c>
      <c r="C56" s="4" t="s">
        <v>1152</v>
      </c>
      <c r="D56" s="5" t="s">
        <v>105</v>
      </c>
      <c r="E56" s="36" t="s">
        <v>1181</v>
      </c>
      <c r="F56" s="34" t="s">
        <v>1180</v>
      </c>
      <c r="G56" s="123"/>
      <c r="H56" s="108">
        <v>200000</v>
      </c>
    </row>
    <row r="57" spans="1:8" ht="32.25" customHeight="1" x14ac:dyDescent="0.4">
      <c r="A57" s="13">
        <v>55</v>
      </c>
      <c r="B57" s="5">
        <v>269</v>
      </c>
      <c r="C57" s="172" t="s">
        <v>490</v>
      </c>
      <c r="D57" s="5" t="s">
        <v>104</v>
      </c>
      <c r="E57" s="36" t="s">
        <v>1193</v>
      </c>
      <c r="F57" s="34" t="s">
        <v>1204</v>
      </c>
      <c r="G57" s="123"/>
      <c r="H57" s="108">
        <v>210000</v>
      </c>
    </row>
    <row r="58" spans="1:8" ht="32.25" customHeight="1" x14ac:dyDescent="0.4">
      <c r="A58" s="13">
        <v>56</v>
      </c>
      <c r="B58" s="5">
        <v>272</v>
      </c>
      <c r="C58" s="172" t="s">
        <v>1200</v>
      </c>
      <c r="D58" s="5" t="s">
        <v>1201</v>
      </c>
      <c r="E58" s="36" t="s">
        <v>1202</v>
      </c>
      <c r="F58" s="34">
        <v>43343</v>
      </c>
      <c r="G58" s="123"/>
      <c r="H58" s="108">
        <v>160000</v>
      </c>
    </row>
    <row r="59" spans="1:8" ht="32.25" customHeight="1" x14ac:dyDescent="0.4">
      <c r="A59" s="13">
        <v>57</v>
      </c>
      <c r="B59" s="5">
        <v>278</v>
      </c>
      <c r="C59" s="4" t="s">
        <v>240</v>
      </c>
      <c r="D59" s="5" t="s">
        <v>105</v>
      </c>
      <c r="E59" s="36" t="s">
        <v>1250</v>
      </c>
      <c r="F59" s="34" t="s">
        <v>1248</v>
      </c>
      <c r="G59" s="123">
        <v>1997</v>
      </c>
      <c r="H59" s="108">
        <v>380000</v>
      </c>
    </row>
    <row r="60" spans="1:8" ht="32.25" customHeight="1" x14ac:dyDescent="0.4">
      <c r="A60" s="13">
        <v>58</v>
      </c>
      <c r="B60" s="5">
        <v>279</v>
      </c>
      <c r="C60" s="4" t="s">
        <v>490</v>
      </c>
      <c r="D60" s="5" t="s">
        <v>105</v>
      </c>
      <c r="E60" s="36" t="s">
        <v>1264</v>
      </c>
      <c r="F60" s="34" t="s">
        <v>1249</v>
      </c>
      <c r="G60" s="123">
        <v>1998</v>
      </c>
      <c r="H60" s="153">
        <v>180000</v>
      </c>
    </row>
    <row r="61" spans="1:8" ht="32.25" customHeight="1" x14ac:dyDescent="0.4">
      <c r="A61" s="13">
        <v>59</v>
      </c>
      <c r="B61" s="5">
        <v>283</v>
      </c>
      <c r="C61" s="172" t="s">
        <v>1300</v>
      </c>
      <c r="D61" s="5" t="s">
        <v>1301</v>
      </c>
      <c r="E61" s="36" t="s">
        <v>1302</v>
      </c>
      <c r="F61" s="34" t="s">
        <v>1303</v>
      </c>
      <c r="G61" s="394">
        <v>2004</v>
      </c>
      <c r="H61" s="108">
        <v>180000</v>
      </c>
    </row>
    <row r="62" spans="1:8" ht="32.25" customHeight="1" x14ac:dyDescent="0.4">
      <c r="A62" s="13">
        <v>60</v>
      </c>
      <c r="B62" s="5">
        <v>285</v>
      </c>
      <c r="C62" s="4" t="s">
        <v>1331</v>
      </c>
      <c r="D62" s="5" t="s">
        <v>657</v>
      </c>
      <c r="E62" s="36" t="s">
        <v>1333</v>
      </c>
      <c r="F62" s="34" t="s">
        <v>1334</v>
      </c>
      <c r="G62" s="108"/>
      <c r="H62" s="108">
        <v>280000</v>
      </c>
    </row>
    <row r="63" spans="1:8" ht="32.25" customHeight="1" x14ac:dyDescent="0.4">
      <c r="A63" s="13">
        <v>61</v>
      </c>
      <c r="B63" s="5">
        <v>289</v>
      </c>
      <c r="C63" s="172" t="s">
        <v>240</v>
      </c>
      <c r="D63" s="5" t="s">
        <v>105</v>
      </c>
      <c r="E63" s="36" t="s">
        <v>1347</v>
      </c>
      <c r="F63" s="34" t="s">
        <v>1348</v>
      </c>
      <c r="G63" s="394"/>
      <c r="H63" s="108">
        <v>250000</v>
      </c>
    </row>
    <row r="64" spans="1:8" ht="32.25" customHeight="1" x14ac:dyDescent="0.4">
      <c r="A64" s="13">
        <v>62</v>
      </c>
      <c r="B64" s="5">
        <v>293</v>
      </c>
      <c r="C64" s="172" t="s">
        <v>11</v>
      </c>
      <c r="D64" s="5" t="s">
        <v>105</v>
      </c>
      <c r="E64" s="36" t="s">
        <v>1365</v>
      </c>
      <c r="F64" s="34" t="s">
        <v>1366</v>
      </c>
      <c r="G64" s="394">
        <v>2004</v>
      </c>
      <c r="H64" s="108">
        <v>180000</v>
      </c>
    </row>
    <row r="65" spans="1:8" ht="32.25" customHeight="1" x14ac:dyDescent="0.4">
      <c r="A65" s="13">
        <v>63</v>
      </c>
      <c r="B65" s="5">
        <v>298</v>
      </c>
      <c r="C65" s="172" t="s">
        <v>11</v>
      </c>
      <c r="D65" s="5" t="s">
        <v>105</v>
      </c>
      <c r="E65" s="36" t="s">
        <v>1413</v>
      </c>
      <c r="F65" s="34" t="s">
        <v>1410</v>
      </c>
      <c r="G65" s="394">
        <v>2008.04</v>
      </c>
      <c r="H65" s="108">
        <v>180000</v>
      </c>
    </row>
    <row r="66" spans="1:8" ht="32.25" customHeight="1" x14ac:dyDescent="0.4">
      <c r="A66" s="13">
        <v>64</v>
      </c>
      <c r="B66" s="5">
        <v>301</v>
      </c>
      <c r="C66" s="172" t="s">
        <v>11</v>
      </c>
      <c r="D66" s="5" t="s">
        <v>323</v>
      </c>
      <c r="E66" s="36" t="s">
        <v>1421</v>
      </c>
      <c r="F66" s="34" t="s">
        <v>1419</v>
      </c>
      <c r="G66" s="394"/>
      <c r="H66" s="108">
        <v>160000</v>
      </c>
    </row>
    <row r="67" spans="1:8" ht="32.25" customHeight="1" x14ac:dyDescent="0.4">
      <c r="A67" s="13">
        <v>65</v>
      </c>
      <c r="B67" s="5">
        <v>302</v>
      </c>
      <c r="C67" s="172" t="s">
        <v>11</v>
      </c>
      <c r="D67" s="5" t="s">
        <v>103</v>
      </c>
      <c r="E67" s="36" t="s">
        <v>1423</v>
      </c>
      <c r="F67" s="34" t="s">
        <v>1424</v>
      </c>
      <c r="G67" s="394">
        <v>2005.12</v>
      </c>
      <c r="H67" s="108">
        <v>180000</v>
      </c>
    </row>
    <row r="68" spans="1:8" ht="32.25" customHeight="1" x14ac:dyDescent="0.4">
      <c r="A68" s="13">
        <v>66</v>
      </c>
      <c r="B68" s="5">
        <v>308</v>
      </c>
      <c r="C68" s="172" t="s">
        <v>11</v>
      </c>
      <c r="D68" s="5" t="s">
        <v>1169</v>
      </c>
      <c r="E68" s="36" t="s">
        <v>1481</v>
      </c>
      <c r="F68" s="34" t="s">
        <v>1482</v>
      </c>
      <c r="G68" s="394"/>
      <c r="H68" s="108">
        <v>160000</v>
      </c>
    </row>
    <row r="69" spans="1:8" ht="32.25" customHeight="1" x14ac:dyDescent="0.4">
      <c r="A69" s="13">
        <v>67</v>
      </c>
      <c r="B69" s="5">
        <v>309</v>
      </c>
      <c r="C69" s="172" t="s">
        <v>11</v>
      </c>
      <c r="D69" s="5" t="s">
        <v>1491</v>
      </c>
      <c r="E69" s="36" t="s">
        <v>1506</v>
      </c>
      <c r="F69" s="34" t="s">
        <v>1492</v>
      </c>
      <c r="G69" s="394">
        <v>2007.02</v>
      </c>
      <c r="H69" s="108">
        <v>160000</v>
      </c>
    </row>
    <row r="70" spans="1:8" ht="32.25" customHeight="1" x14ac:dyDescent="0.4">
      <c r="A70" s="13">
        <v>68</v>
      </c>
      <c r="B70" s="5">
        <v>311</v>
      </c>
      <c r="C70" s="172" t="s">
        <v>423</v>
      </c>
      <c r="D70" s="5" t="s">
        <v>105</v>
      </c>
      <c r="E70" s="36" t="s">
        <v>1511</v>
      </c>
      <c r="F70" s="34" t="s">
        <v>1507</v>
      </c>
      <c r="G70" s="394"/>
      <c r="H70" s="108">
        <v>120000</v>
      </c>
    </row>
    <row r="71" spans="1:8" ht="32.25" customHeight="1" x14ac:dyDescent="0.4">
      <c r="A71" s="13">
        <v>69</v>
      </c>
      <c r="B71" s="5">
        <v>312</v>
      </c>
      <c r="C71" s="172" t="s">
        <v>11</v>
      </c>
      <c r="D71" s="5" t="s">
        <v>1491</v>
      </c>
      <c r="E71" s="36" t="s">
        <v>1512</v>
      </c>
      <c r="F71" s="34" t="s">
        <v>1508</v>
      </c>
      <c r="G71" s="394">
        <v>2004.07</v>
      </c>
      <c r="H71" s="108">
        <v>220000</v>
      </c>
    </row>
    <row r="72" spans="1:8" ht="32.25" customHeight="1" x14ac:dyDescent="0.4">
      <c r="A72" s="13">
        <v>70</v>
      </c>
      <c r="B72" s="5">
        <v>315</v>
      </c>
      <c r="C72" s="172" t="s">
        <v>656</v>
      </c>
      <c r="D72" s="5" t="s">
        <v>1532</v>
      </c>
      <c r="E72" s="36" t="s">
        <v>1533</v>
      </c>
      <c r="F72" s="34" t="s">
        <v>1534</v>
      </c>
      <c r="G72" s="394">
        <v>1997.01</v>
      </c>
      <c r="H72" s="108">
        <v>250000</v>
      </c>
    </row>
    <row r="73" spans="1:8" ht="32.25" customHeight="1" x14ac:dyDescent="0.4">
      <c r="A73" s="13">
        <v>71</v>
      </c>
      <c r="B73" s="5">
        <v>317</v>
      </c>
      <c r="C73" s="172" t="s">
        <v>490</v>
      </c>
      <c r="D73" s="5" t="s">
        <v>105</v>
      </c>
      <c r="E73" s="36" t="s">
        <v>1559</v>
      </c>
      <c r="F73" s="34" t="s">
        <v>1560</v>
      </c>
      <c r="G73" s="394">
        <v>2008.05</v>
      </c>
      <c r="H73" s="108">
        <v>180000</v>
      </c>
    </row>
    <row r="74" spans="1:8" ht="32.25" customHeight="1" x14ac:dyDescent="0.4">
      <c r="A74" s="13">
        <v>72</v>
      </c>
      <c r="B74" s="5">
        <v>320</v>
      </c>
      <c r="C74" s="172" t="s">
        <v>483</v>
      </c>
      <c r="D74" s="5" t="s">
        <v>1605</v>
      </c>
      <c r="E74" s="36" t="s">
        <v>1606</v>
      </c>
      <c r="F74" s="34" t="s">
        <v>1569</v>
      </c>
      <c r="G74" s="394"/>
      <c r="H74" s="108">
        <v>200000</v>
      </c>
    </row>
    <row r="75" spans="1:8" ht="32.25" customHeight="1" x14ac:dyDescent="0.4">
      <c r="A75" s="13">
        <v>73</v>
      </c>
      <c r="B75" s="5">
        <v>322</v>
      </c>
      <c r="C75" s="172" t="s">
        <v>766</v>
      </c>
      <c r="D75" s="5" t="s">
        <v>1601</v>
      </c>
      <c r="E75" s="36">
        <v>6009108</v>
      </c>
      <c r="F75" s="34" t="s">
        <v>1602</v>
      </c>
      <c r="G75" s="394">
        <v>2007</v>
      </c>
      <c r="H75" s="108">
        <v>250000</v>
      </c>
    </row>
    <row r="76" spans="1:8" ht="32.25" customHeight="1" x14ac:dyDescent="0.4">
      <c r="A76" s="13">
        <v>74</v>
      </c>
      <c r="B76" s="5">
        <v>323</v>
      </c>
      <c r="C76" s="172" t="s">
        <v>766</v>
      </c>
      <c r="D76" s="5" t="s">
        <v>1601</v>
      </c>
      <c r="E76" s="36">
        <v>6009100</v>
      </c>
      <c r="F76" s="34" t="s">
        <v>1602</v>
      </c>
      <c r="G76" s="394">
        <v>2007</v>
      </c>
      <c r="H76" s="108">
        <v>250000</v>
      </c>
    </row>
    <row r="77" spans="1:8" ht="32.25" customHeight="1" x14ac:dyDescent="0.4">
      <c r="A77" s="13">
        <v>75</v>
      </c>
      <c r="B77" s="5">
        <v>324</v>
      </c>
      <c r="C77" s="172" t="s">
        <v>766</v>
      </c>
      <c r="D77" s="5" t="s">
        <v>1601</v>
      </c>
      <c r="E77" s="36">
        <v>6020928</v>
      </c>
      <c r="F77" s="34" t="s">
        <v>1602</v>
      </c>
      <c r="G77" s="394">
        <v>2008</v>
      </c>
      <c r="H77" s="108">
        <v>250000</v>
      </c>
    </row>
    <row r="78" spans="1:8" ht="29.25" customHeight="1" x14ac:dyDescent="0.4">
      <c r="A78" s="13"/>
      <c r="B78" s="5"/>
      <c r="C78" s="172"/>
      <c r="D78" s="13"/>
      <c r="E78" s="119"/>
      <c r="F78" s="116"/>
      <c r="G78" s="151" t="s">
        <v>886</v>
      </c>
      <c r="H78" s="151">
        <f>SUM(H3:H77)</f>
        <v>21580000</v>
      </c>
    </row>
    <row r="79" spans="1:8" ht="32.25" customHeight="1" x14ac:dyDescent="0.4">
      <c r="B79" s="155"/>
      <c r="C79" s="15"/>
      <c r="D79" s="13"/>
      <c r="E79" s="119"/>
      <c r="F79" s="116"/>
      <c r="G79" s="116"/>
      <c r="H79" s="109"/>
    </row>
    <row r="80" spans="1:8" ht="32.25" customHeight="1" x14ac:dyDescent="0.4">
      <c r="B80" s="155"/>
      <c r="C80" s="15"/>
      <c r="D80" s="13"/>
      <c r="E80" s="119"/>
      <c r="F80" s="116"/>
      <c r="G80" s="116"/>
      <c r="H80" s="109"/>
    </row>
    <row r="81" spans="2:9" s="149" customFormat="1" ht="32.25" customHeight="1" x14ac:dyDescent="0.4">
      <c r="B81" s="297"/>
      <c r="C81" s="146"/>
      <c r="D81" s="144"/>
      <c r="E81" s="147"/>
      <c r="F81" s="148"/>
      <c r="G81" s="148"/>
      <c r="I81" s="117"/>
    </row>
    <row r="82" spans="2:9" s="149" customFormat="1" ht="32.25" customHeight="1" x14ac:dyDescent="0.4">
      <c r="B82" s="297"/>
      <c r="C82" s="146"/>
      <c r="D82" s="144"/>
      <c r="E82" s="147"/>
      <c r="F82" s="148"/>
      <c r="G82" s="148"/>
      <c r="I82" s="117"/>
    </row>
    <row r="83" spans="2:9" s="149" customFormat="1" ht="32.25" customHeight="1" x14ac:dyDescent="0.4">
      <c r="B83" s="297"/>
      <c r="C83" s="146"/>
      <c r="D83" s="144"/>
      <c r="E83" s="147"/>
      <c r="F83" s="148"/>
      <c r="G83" s="148"/>
      <c r="I83" s="117"/>
    </row>
    <row r="84" spans="2:9" s="149" customFormat="1" ht="32.25" customHeight="1" x14ac:dyDescent="0.4">
      <c r="B84" s="297"/>
      <c r="C84" s="146"/>
      <c r="D84" s="144"/>
      <c r="E84" s="147"/>
      <c r="F84" s="148"/>
      <c r="G84" s="148"/>
      <c r="I84" s="117"/>
    </row>
    <row r="85" spans="2:9" s="149" customFormat="1" ht="32.25" customHeight="1" x14ac:dyDescent="0.4">
      <c r="B85" s="297"/>
      <c r="C85" s="146"/>
      <c r="D85" s="144"/>
      <c r="E85" s="147"/>
      <c r="F85" s="148"/>
      <c r="G85" s="148"/>
      <c r="I85" s="117"/>
    </row>
    <row r="86" spans="2:9" s="149" customFormat="1" ht="32.25" customHeight="1" x14ac:dyDescent="0.4">
      <c r="B86" s="297"/>
      <c r="C86" s="146"/>
      <c r="D86" s="144"/>
      <c r="E86" s="147"/>
      <c r="F86" s="148"/>
      <c r="G86" s="148"/>
      <c r="I86" s="117"/>
    </row>
    <row r="87" spans="2:9" s="149" customFormat="1" ht="32.25" customHeight="1" x14ac:dyDescent="0.4">
      <c r="B87" s="297"/>
      <c r="C87" s="146"/>
      <c r="D87" s="144"/>
      <c r="E87" s="147"/>
      <c r="F87" s="148"/>
      <c r="G87" s="148"/>
      <c r="I87" s="117"/>
    </row>
    <row r="88" spans="2:9" s="149" customFormat="1" ht="32.25" customHeight="1" x14ac:dyDescent="0.4">
      <c r="B88" s="297"/>
      <c r="C88" s="146"/>
      <c r="D88" s="144"/>
      <c r="E88" s="147"/>
      <c r="F88" s="148"/>
      <c r="G88" s="148"/>
      <c r="I88" s="117"/>
    </row>
    <row r="89" spans="2:9" s="149" customFormat="1" ht="32.25" customHeight="1" x14ac:dyDescent="0.4">
      <c r="B89" s="297"/>
      <c r="C89" s="146"/>
      <c r="D89" s="144"/>
      <c r="E89" s="147"/>
      <c r="F89" s="148"/>
      <c r="G89" s="148"/>
      <c r="I89" s="117"/>
    </row>
    <row r="90" spans="2:9" s="149" customFormat="1" ht="32.25" customHeight="1" x14ac:dyDescent="0.4">
      <c r="B90" s="297"/>
      <c r="C90" s="146"/>
      <c r="D90" s="144"/>
      <c r="E90" s="147"/>
      <c r="F90" s="148"/>
      <c r="G90" s="148"/>
      <c r="I90" s="117"/>
    </row>
    <row r="91" spans="2:9" s="149" customFormat="1" ht="32.25" customHeight="1" x14ac:dyDescent="0.4">
      <c r="B91" s="297"/>
      <c r="C91" s="146"/>
      <c r="D91" s="144"/>
      <c r="E91" s="147"/>
      <c r="F91" s="148"/>
      <c r="G91" s="148"/>
      <c r="I91" s="117"/>
    </row>
    <row r="92" spans="2:9" s="149" customFormat="1" ht="32.25" customHeight="1" x14ac:dyDescent="0.4">
      <c r="B92" s="297"/>
      <c r="C92" s="146"/>
      <c r="D92" s="144"/>
      <c r="E92" s="147"/>
      <c r="F92" s="148"/>
      <c r="G92" s="148"/>
      <c r="I92" s="117"/>
    </row>
    <row r="93" spans="2:9" s="149" customFormat="1" ht="32.25" customHeight="1" x14ac:dyDescent="0.4">
      <c r="B93" s="297"/>
      <c r="C93" s="146"/>
      <c r="D93" s="144"/>
      <c r="E93" s="147"/>
      <c r="F93" s="148"/>
      <c r="G93" s="148"/>
      <c r="I93" s="117"/>
    </row>
    <row r="94" spans="2:9" s="149" customFormat="1" ht="32.25" customHeight="1" x14ac:dyDescent="0.4">
      <c r="B94" s="297"/>
      <c r="C94" s="146"/>
      <c r="D94" s="144"/>
      <c r="E94" s="147"/>
      <c r="F94" s="148"/>
      <c r="G94" s="148"/>
      <c r="I94" s="117"/>
    </row>
    <row r="95" spans="2:9" s="149" customFormat="1" ht="32.25" customHeight="1" x14ac:dyDescent="0.4">
      <c r="B95" s="297"/>
      <c r="C95" s="146"/>
      <c r="D95" s="144"/>
      <c r="E95" s="147"/>
      <c r="F95" s="148"/>
      <c r="G95" s="148"/>
      <c r="I95" s="117"/>
    </row>
    <row r="96" spans="2:9" s="149" customFormat="1" ht="32.25" customHeight="1" x14ac:dyDescent="0.4">
      <c r="B96" s="297"/>
      <c r="C96" s="146"/>
      <c r="D96" s="144"/>
      <c r="E96" s="147"/>
      <c r="F96" s="148"/>
      <c r="G96" s="148"/>
      <c r="I96" s="117"/>
    </row>
    <row r="97" spans="2:9" s="149" customFormat="1" ht="32.25" customHeight="1" x14ac:dyDescent="0.4">
      <c r="B97" s="297"/>
      <c r="C97" s="146"/>
      <c r="D97" s="144"/>
      <c r="E97" s="147"/>
      <c r="F97" s="148"/>
      <c r="G97" s="148"/>
      <c r="I97" s="117"/>
    </row>
    <row r="98" spans="2:9" s="149" customFormat="1" ht="32.25" customHeight="1" x14ac:dyDescent="0.4">
      <c r="B98" s="297"/>
      <c r="C98" s="146"/>
      <c r="D98" s="144"/>
      <c r="E98" s="147"/>
      <c r="F98" s="148"/>
      <c r="G98" s="148"/>
      <c r="I98" s="117"/>
    </row>
    <row r="99" spans="2:9" s="149" customFormat="1" ht="32.25" customHeight="1" x14ac:dyDescent="0.4">
      <c r="B99" s="297"/>
      <c r="C99" s="146"/>
      <c r="D99" s="144"/>
      <c r="E99" s="147"/>
      <c r="F99" s="148"/>
      <c r="G99" s="148"/>
      <c r="I99" s="117"/>
    </row>
    <row r="100" spans="2:9" s="149" customFormat="1" ht="32.25" customHeight="1" x14ac:dyDescent="0.4">
      <c r="B100" s="297"/>
      <c r="C100" s="146"/>
      <c r="D100" s="144"/>
      <c r="E100" s="147"/>
      <c r="F100" s="148"/>
      <c r="G100" s="148"/>
      <c r="I100" s="117"/>
    </row>
    <row r="101" spans="2:9" s="149" customFormat="1" ht="32.25" customHeight="1" x14ac:dyDescent="0.4">
      <c r="B101" s="297"/>
      <c r="C101" s="146"/>
      <c r="D101" s="144"/>
      <c r="E101" s="147"/>
      <c r="F101" s="148"/>
      <c r="G101" s="148"/>
      <c r="I101" s="117"/>
    </row>
    <row r="102" spans="2:9" s="149" customFormat="1" ht="32.25" customHeight="1" x14ac:dyDescent="0.4">
      <c r="B102" s="297"/>
      <c r="C102" s="146"/>
      <c r="D102" s="144"/>
      <c r="E102" s="147"/>
      <c r="F102" s="148"/>
      <c r="G102" s="148"/>
      <c r="I102" s="117"/>
    </row>
    <row r="103" spans="2:9" s="149" customFormat="1" ht="32.25" customHeight="1" x14ac:dyDescent="0.4">
      <c r="B103" s="297"/>
      <c r="C103" s="146"/>
      <c r="D103" s="144"/>
      <c r="E103" s="147"/>
      <c r="F103" s="148"/>
      <c r="G103" s="148"/>
      <c r="I103" s="117"/>
    </row>
    <row r="104" spans="2:9" s="149" customFormat="1" ht="32.25" customHeight="1" x14ac:dyDescent="0.4">
      <c r="B104" s="297"/>
      <c r="C104" s="146"/>
      <c r="D104" s="144"/>
      <c r="E104" s="147"/>
      <c r="F104" s="148"/>
      <c r="G104" s="148"/>
      <c r="I104" s="117"/>
    </row>
    <row r="105" spans="2:9" s="149" customFormat="1" ht="32.25" customHeight="1" x14ac:dyDescent="0.4">
      <c r="B105" s="297"/>
      <c r="C105" s="146"/>
      <c r="D105" s="144"/>
      <c r="E105" s="147"/>
      <c r="F105" s="148"/>
      <c r="G105" s="148"/>
      <c r="I105" s="117"/>
    </row>
    <row r="106" spans="2:9" s="149" customFormat="1" ht="32.25" customHeight="1" x14ac:dyDescent="0.4">
      <c r="B106" s="297"/>
      <c r="C106" s="146"/>
      <c r="D106" s="144"/>
      <c r="E106" s="147"/>
      <c r="F106" s="148"/>
      <c r="G106" s="148"/>
      <c r="I106" s="117"/>
    </row>
    <row r="107" spans="2:9" s="149" customFormat="1" ht="32.25" customHeight="1" x14ac:dyDescent="0.4">
      <c r="B107" s="297"/>
      <c r="C107" s="146"/>
      <c r="D107" s="144"/>
      <c r="E107" s="147"/>
      <c r="F107" s="148"/>
      <c r="G107" s="148"/>
      <c r="I107" s="117"/>
    </row>
    <row r="108" spans="2:9" s="149" customFormat="1" ht="32.25" customHeight="1" x14ac:dyDescent="0.4">
      <c r="B108" s="297"/>
      <c r="C108" s="146"/>
      <c r="D108" s="144"/>
      <c r="E108" s="147"/>
      <c r="F108" s="148"/>
      <c r="G108" s="148"/>
      <c r="I108" s="117"/>
    </row>
    <row r="109" spans="2:9" s="149" customFormat="1" ht="32.25" customHeight="1" x14ac:dyDescent="0.4">
      <c r="B109" s="297"/>
      <c r="C109" s="146"/>
      <c r="D109" s="144"/>
      <c r="E109" s="147"/>
      <c r="F109" s="148"/>
      <c r="G109" s="148"/>
      <c r="I109" s="117"/>
    </row>
    <row r="110" spans="2:9" s="149" customFormat="1" ht="32.25" customHeight="1" x14ac:dyDescent="0.4">
      <c r="B110" s="297"/>
      <c r="C110" s="146"/>
      <c r="D110" s="144"/>
      <c r="E110" s="147"/>
      <c r="F110" s="148"/>
      <c r="G110" s="148"/>
      <c r="I110" s="117"/>
    </row>
    <row r="111" spans="2:9" s="149" customFormat="1" ht="32.25" customHeight="1" x14ac:dyDescent="0.4">
      <c r="B111" s="297"/>
      <c r="C111" s="146"/>
      <c r="D111" s="144"/>
      <c r="E111" s="147"/>
      <c r="F111" s="148"/>
      <c r="G111" s="148"/>
      <c r="I111" s="117"/>
    </row>
    <row r="112" spans="2:9" s="149" customFormat="1" ht="32.25" customHeight="1" x14ac:dyDescent="0.4">
      <c r="B112" s="297"/>
      <c r="C112" s="146"/>
      <c r="D112" s="144"/>
      <c r="E112" s="147"/>
      <c r="F112" s="148"/>
      <c r="G112" s="148"/>
      <c r="I112" s="117"/>
    </row>
    <row r="113" spans="2:9" s="149" customFormat="1" ht="32.25" customHeight="1" x14ac:dyDescent="0.4">
      <c r="B113" s="297"/>
      <c r="C113" s="146"/>
      <c r="D113" s="144"/>
      <c r="E113" s="147"/>
      <c r="F113" s="148"/>
      <c r="G113" s="148"/>
      <c r="I113" s="117"/>
    </row>
    <row r="114" spans="2:9" s="149" customFormat="1" ht="32.25" customHeight="1" x14ac:dyDescent="0.4">
      <c r="B114" s="297"/>
      <c r="C114" s="146"/>
      <c r="D114" s="144"/>
      <c r="E114" s="147"/>
      <c r="F114" s="148"/>
      <c r="G114" s="148"/>
      <c r="I114" s="117"/>
    </row>
    <row r="115" spans="2:9" s="149" customFormat="1" ht="32.25" customHeight="1" x14ac:dyDescent="0.4">
      <c r="B115" s="297"/>
      <c r="C115" s="146"/>
      <c r="D115" s="144"/>
      <c r="E115" s="147"/>
      <c r="F115" s="148"/>
      <c r="G115" s="148"/>
      <c r="I115" s="117"/>
    </row>
    <row r="116" spans="2:9" s="149" customFormat="1" ht="32.25" customHeight="1" x14ac:dyDescent="0.4">
      <c r="B116" s="297"/>
      <c r="C116" s="146"/>
      <c r="D116" s="144"/>
      <c r="E116" s="147"/>
      <c r="F116" s="148"/>
      <c r="G116" s="148"/>
      <c r="I116" s="117"/>
    </row>
    <row r="117" spans="2:9" s="149" customFormat="1" ht="32.25" customHeight="1" x14ac:dyDescent="0.4">
      <c r="B117" s="297"/>
      <c r="C117" s="146"/>
      <c r="D117" s="144"/>
      <c r="E117" s="147"/>
      <c r="F117" s="148"/>
      <c r="G117" s="148"/>
      <c r="I117" s="117"/>
    </row>
    <row r="118" spans="2:9" s="149" customFormat="1" ht="32.25" customHeight="1" x14ac:dyDescent="0.4">
      <c r="B118" s="297"/>
      <c r="C118" s="146"/>
      <c r="D118" s="144"/>
      <c r="E118" s="147"/>
      <c r="F118" s="148"/>
      <c r="G118" s="148"/>
      <c r="I118" s="117"/>
    </row>
    <row r="119" spans="2:9" s="149" customFormat="1" ht="32.25" customHeight="1" x14ac:dyDescent="0.4">
      <c r="B119" s="297"/>
      <c r="C119" s="146"/>
      <c r="D119" s="144"/>
      <c r="E119" s="147"/>
      <c r="F119" s="148"/>
      <c r="G119" s="148"/>
      <c r="I119" s="117"/>
    </row>
    <row r="120" spans="2:9" s="149" customFormat="1" ht="32.25" customHeight="1" x14ac:dyDescent="0.4">
      <c r="B120" s="297"/>
      <c r="C120" s="146"/>
      <c r="D120" s="144"/>
      <c r="E120" s="147"/>
      <c r="F120" s="148"/>
      <c r="G120" s="148"/>
      <c r="I120" s="117"/>
    </row>
    <row r="121" spans="2:9" s="149" customFormat="1" ht="32.25" customHeight="1" x14ac:dyDescent="0.4">
      <c r="B121" s="297"/>
      <c r="C121" s="146"/>
      <c r="D121" s="144"/>
      <c r="E121" s="147"/>
      <c r="F121" s="148"/>
      <c r="G121" s="148"/>
      <c r="I121" s="117"/>
    </row>
    <row r="122" spans="2:9" s="149" customFormat="1" ht="32.25" customHeight="1" x14ac:dyDescent="0.4">
      <c r="B122" s="297"/>
      <c r="C122" s="146"/>
      <c r="D122" s="144"/>
      <c r="E122" s="147"/>
      <c r="F122" s="148"/>
      <c r="G122" s="148"/>
      <c r="I122" s="117"/>
    </row>
    <row r="123" spans="2:9" s="149" customFormat="1" ht="32.25" customHeight="1" x14ac:dyDescent="0.4">
      <c r="B123" s="297"/>
      <c r="C123" s="146"/>
      <c r="D123" s="144"/>
      <c r="E123" s="147"/>
      <c r="F123" s="148"/>
      <c r="G123" s="148"/>
      <c r="I123" s="117"/>
    </row>
    <row r="124" spans="2:9" s="149" customFormat="1" ht="32.25" customHeight="1" x14ac:dyDescent="0.4">
      <c r="B124" s="297"/>
      <c r="C124" s="146"/>
      <c r="D124" s="144"/>
      <c r="E124" s="147"/>
      <c r="F124" s="148"/>
      <c r="G124" s="148"/>
      <c r="I124" s="117"/>
    </row>
    <row r="125" spans="2:9" s="149" customFormat="1" ht="32.25" customHeight="1" x14ac:dyDescent="0.4">
      <c r="B125" s="297"/>
      <c r="C125" s="146"/>
      <c r="D125" s="144"/>
      <c r="E125" s="147"/>
      <c r="F125" s="148"/>
      <c r="G125" s="148"/>
      <c r="I125" s="117"/>
    </row>
    <row r="126" spans="2:9" s="149" customFormat="1" ht="32.25" customHeight="1" x14ac:dyDescent="0.4">
      <c r="B126" s="297"/>
      <c r="C126" s="146"/>
      <c r="D126" s="144"/>
      <c r="E126" s="147"/>
      <c r="F126" s="148"/>
      <c r="G126" s="148"/>
      <c r="I126" s="117"/>
    </row>
    <row r="127" spans="2:9" s="149" customFormat="1" ht="32.25" customHeight="1" x14ac:dyDescent="0.4">
      <c r="B127" s="297"/>
      <c r="C127" s="146"/>
      <c r="D127" s="144"/>
      <c r="E127" s="147"/>
      <c r="F127" s="148"/>
      <c r="G127" s="148"/>
      <c r="I127" s="117"/>
    </row>
    <row r="128" spans="2:9" s="149" customFormat="1" ht="32.25" customHeight="1" x14ac:dyDescent="0.4">
      <c r="B128" s="297"/>
      <c r="C128" s="146"/>
      <c r="D128" s="144"/>
      <c r="E128" s="147"/>
      <c r="F128" s="148"/>
      <c r="G128" s="148"/>
      <c r="I128" s="117"/>
    </row>
    <row r="129" spans="2:9" s="149" customFormat="1" ht="32.25" customHeight="1" x14ac:dyDescent="0.4">
      <c r="B129" s="297"/>
      <c r="C129" s="146"/>
      <c r="D129" s="144"/>
      <c r="E129" s="147"/>
      <c r="F129" s="148"/>
      <c r="G129" s="148"/>
      <c r="I129" s="117"/>
    </row>
    <row r="130" spans="2:9" s="149" customFormat="1" ht="32.25" customHeight="1" x14ac:dyDescent="0.4">
      <c r="B130" s="297"/>
      <c r="C130" s="146"/>
      <c r="D130" s="144"/>
      <c r="E130" s="147"/>
      <c r="F130" s="148"/>
      <c r="G130" s="148"/>
      <c r="I130" s="117"/>
    </row>
    <row r="131" spans="2:9" s="149" customFormat="1" ht="32.25" customHeight="1" x14ac:dyDescent="0.4">
      <c r="B131" s="297"/>
      <c r="C131" s="146"/>
      <c r="D131" s="144"/>
      <c r="E131" s="147"/>
      <c r="F131" s="148"/>
      <c r="G131" s="148"/>
      <c r="I131" s="117"/>
    </row>
    <row r="132" spans="2:9" s="149" customFormat="1" ht="32.25" customHeight="1" x14ac:dyDescent="0.4">
      <c r="B132" s="297"/>
      <c r="C132" s="146"/>
      <c r="D132" s="144"/>
      <c r="E132" s="147"/>
      <c r="F132" s="148"/>
      <c r="G132" s="148"/>
      <c r="I132" s="117"/>
    </row>
    <row r="133" spans="2:9" s="149" customFormat="1" ht="32.25" customHeight="1" x14ac:dyDescent="0.4">
      <c r="B133" s="297"/>
      <c r="C133" s="146"/>
      <c r="D133" s="144"/>
      <c r="E133" s="147"/>
      <c r="F133" s="148"/>
      <c r="G133" s="148"/>
      <c r="I133" s="117"/>
    </row>
    <row r="134" spans="2:9" s="149" customFormat="1" ht="32.25" customHeight="1" x14ac:dyDescent="0.4">
      <c r="B134" s="297"/>
      <c r="C134" s="146"/>
      <c r="D134" s="144"/>
      <c r="E134" s="147"/>
      <c r="F134" s="148"/>
      <c r="G134" s="148"/>
      <c r="I134" s="117"/>
    </row>
    <row r="135" spans="2:9" s="149" customFormat="1" ht="32.25" customHeight="1" x14ac:dyDescent="0.4">
      <c r="B135" s="297"/>
      <c r="C135" s="146"/>
      <c r="D135" s="144"/>
      <c r="E135" s="147"/>
      <c r="F135" s="148"/>
      <c r="G135" s="148"/>
      <c r="I135" s="117"/>
    </row>
    <row r="136" spans="2:9" s="149" customFormat="1" ht="32.25" customHeight="1" x14ac:dyDescent="0.4">
      <c r="B136" s="297"/>
      <c r="C136" s="146"/>
      <c r="D136" s="144"/>
      <c r="E136" s="147"/>
      <c r="F136" s="148"/>
      <c r="G136" s="148"/>
      <c r="I136" s="117"/>
    </row>
    <row r="137" spans="2:9" s="149" customFormat="1" ht="32.25" customHeight="1" x14ac:dyDescent="0.4">
      <c r="B137" s="297"/>
      <c r="C137" s="146"/>
      <c r="D137" s="144"/>
      <c r="E137" s="147"/>
      <c r="F137" s="148"/>
      <c r="G137" s="148"/>
      <c r="I137" s="117"/>
    </row>
    <row r="138" spans="2:9" s="149" customFormat="1" ht="32.25" customHeight="1" x14ac:dyDescent="0.4">
      <c r="B138" s="297"/>
      <c r="C138" s="146"/>
      <c r="D138" s="144"/>
      <c r="E138" s="147"/>
      <c r="F138" s="148"/>
      <c r="G138" s="148"/>
      <c r="I138" s="117"/>
    </row>
    <row r="139" spans="2:9" s="149" customFormat="1" ht="32.25" customHeight="1" x14ac:dyDescent="0.4">
      <c r="B139" s="297"/>
      <c r="C139" s="146"/>
      <c r="D139" s="144"/>
      <c r="E139" s="147"/>
      <c r="F139" s="148"/>
      <c r="G139" s="148"/>
      <c r="I139" s="117"/>
    </row>
    <row r="140" spans="2:9" s="149" customFormat="1" ht="32.25" customHeight="1" x14ac:dyDescent="0.4">
      <c r="B140" s="297"/>
      <c r="C140" s="146"/>
      <c r="D140" s="144"/>
      <c r="E140" s="147"/>
      <c r="F140" s="148"/>
      <c r="G140" s="148"/>
      <c r="I140" s="117"/>
    </row>
    <row r="141" spans="2:9" s="149" customFormat="1" ht="32.25" customHeight="1" x14ac:dyDescent="0.4">
      <c r="B141" s="297"/>
      <c r="C141" s="146"/>
      <c r="D141" s="144"/>
      <c r="E141" s="147"/>
      <c r="F141" s="148"/>
      <c r="G141" s="148"/>
      <c r="I141" s="117"/>
    </row>
    <row r="142" spans="2:9" s="149" customFormat="1" ht="32.25" customHeight="1" x14ac:dyDescent="0.4">
      <c r="B142" s="297"/>
      <c r="C142" s="146"/>
      <c r="D142" s="144"/>
      <c r="E142" s="147"/>
      <c r="F142" s="148"/>
      <c r="G142" s="148"/>
      <c r="I142" s="117"/>
    </row>
    <row r="143" spans="2:9" s="149" customFormat="1" ht="32.25" customHeight="1" x14ac:dyDescent="0.4">
      <c r="B143" s="297"/>
      <c r="C143" s="146"/>
      <c r="D143" s="144"/>
      <c r="E143" s="147"/>
      <c r="F143" s="148"/>
      <c r="G143" s="148"/>
      <c r="I143" s="117"/>
    </row>
    <row r="144" spans="2:9" s="149" customFormat="1" ht="32.25" customHeight="1" x14ac:dyDescent="0.4">
      <c r="B144" s="297"/>
      <c r="C144" s="146"/>
      <c r="D144" s="144"/>
      <c r="E144" s="147"/>
      <c r="F144" s="148"/>
      <c r="G144" s="148"/>
      <c r="I144" s="117"/>
    </row>
    <row r="145" spans="2:9" s="149" customFormat="1" ht="32.25" customHeight="1" x14ac:dyDescent="0.4">
      <c r="B145" s="297"/>
      <c r="C145" s="146"/>
      <c r="D145" s="144"/>
      <c r="E145" s="147"/>
      <c r="F145" s="148"/>
      <c r="G145" s="148"/>
      <c r="I145" s="117"/>
    </row>
    <row r="146" spans="2:9" s="149" customFormat="1" ht="32.25" customHeight="1" x14ac:dyDescent="0.4">
      <c r="B146" s="297"/>
      <c r="C146" s="146"/>
      <c r="D146" s="144"/>
      <c r="E146" s="147"/>
      <c r="F146" s="148"/>
      <c r="G146" s="148"/>
      <c r="I146" s="117"/>
    </row>
    <row r="147" spans="2:9" s="149" customFormat="1" ht="32.25" customHeight="1" x14ac:dyDescent="0.4">
      <c r="B147" s="297"/>
      <c r="C147" s="146"/>
      <c r="D147" s="144"/>
      <c r="E147" s="147"/>
      <c r="F147" s="148"/>
      <c r="G147" s="148"/>
      <c r="I147" s="117"/>
    </row>
    <row r="148" spans="2:9" s="149" customFormat="1" ht="32.25" customHeight="1" x14ac:dyDescent="0.4">
      <c r="B148" s="297"/>
      <c r="C148" s="146"/>
      <c r="D148" s="144"/>
      <c r="E148" s="147"/>
      <c r="F148" s="148"/>
      <c r="G148" s="148"/>
      <c r="I148" s="117"/>
    </row>
    <row r="149" spans="2:9" s="149" customFormat="1" ht="32.25" customHeight="1" x14ac:dyDescent="0.4">
      <c r="B149" s="297"/>
      <c r="C149" s="146"/>
      <c r="D149" s="144"/>
      <c r="E149" s="147"/>
      <c r="F149" s="148"/>
      <c r="G149" s="148"/>
      <c r="I149" s="117"/>
    </row>
    <row r="150" spans="2:9" s="149" customFormat="1" ht="32.25" customHeight="1" x14ac:dyDescent="0.4">
      <c r="B150" s="297"/>
      <c r="C150" s="146"/>
      <c r="D150" s="144"/>
      <c r="E150" s="147"/>
      <c r="F150" s="148"/>
      <c r="G150" s="148"/>
      <c r="I150" s="117"/>
    </row>
    <row r="151" spans="2:9" s="149" customFormat="1" ht="32.25" customHeight="1" x14ac:dyDescent="0.4">
      <c r="B151" s="297"/>
      <c r="C151" s="146"/>
      <c r="D151" s="144"/>
      <c r="E151" s="147"/>
      <c r="F151" s="148"/>
      <c r="G151" s="148"/>
      <c r="I151" s="117"/>
    </row>
    <row r="152" spans="2:9" s="149" customFormat="1" ht="32.25" customHeight="1" x14ac:dyDescent="0.4">
      <c r="B152" s="297"/>
      <c r="C152" s="146"/>
      <c r="D152" s="144"/>
      <c r="E152" s="147"/>
      <c r="F152" s="148"/>
      <c r="G152" s="148"/>
      <c r="I152" s="117"/>
    </row>
    <row r="153" spans="2:9" s="149" customFormat="1" ht="32.25" customHeight="1" x14ac:dyDescent="0.4">
      <c r="B153" s="297"/>
      <c r="C153" s="146"/>
      <c r="D153" s="144"/>
      <c r="E153" s="147"/>
      <c r="F153" s="148"/>
      <c r="G153" s="148"/>
      <c r="I153" s="117"/>
    </row>
    <row r="154" spans="2:9" s="149" customFormat="1" ht="32.25" customHeight="1" x14ac:dyDescent="0.4">
      <c r="B154" s="297"/>
      <c r="C154" s="146"/>
      <c r="D154" s="144"/>
      <c r="E154" s="147"/>
      <c r="F154" s="148"/>
      <c r="G154" s="148"/>
      <c r="I154" s="117"/>
    </row>
    <row r="155" spans="2:9" s="149" customFormat="1" ht="32.25" customHeight="1" x14ac:dyDescent="0.4">
      <c r="B155" s="297"/>
      <c r="C155" s="146"/>
      <c r="D155" s="144"/>
      <c r="E155" s="147"/>
      <c r="F155" s="148"/>
      <c r="G155" s="148"/>
      <c r="I155" s="117"/>
    </row>
    <row r="156" spans="2:9" s="149" customFormat="1" ht="32.25" customHeight="1" x14ac:dyDescent="0.4">
      <c r="B156" s="297"/>
      <c r="C156" s="146"/>
      <c r="D156" s="144"/>
      <c r="E156" s="147"/>
      <c r="F156" s="148"/>
      <c r="G156" s="148"/>
      <c r="I156" s="117"/>
    </row>
    <row r="157" spans="2:9" s="149" customFormat="1" ht="32.25" customHeight="1" x14ac:dyDescent="0.4">
      <c r="B157" s="297"/>
      <c r="C157" s="146"/>
      <c r="D157" s="144"/>
      <c r="E157" s="147"/>
      <c r="F157" s="148"/>
      <c r="G157" s="148"/>
      <c r="I157" s="117"/>
    </row>
    <row r="158" spans="2:9" s="149" customFormat="1" ht="32.25" customHeight="1" x14ac:dyDescent="0.4">
      <c r="B158" s="297"/>
      <c r="C158" s="146"/>
      <c r="D158" s="144"/>
      <c r="E158" s="147"/>
      <c r="F158" s="148"/>
      <c r="G158" s="148"/>
      <c r="I158" s="117"/>
    </row>
    <row r="159" spans="2:9" s="149" customFormat="1" ht="32.25" customHeight="1" x14ac:dyDescent="0.4">
      <c r="B159" s="297"/>
      <c r="C159" s="146"/>
      <c r="D159" s="144"/>
      <c r="E159" s="147"/>
      <c r="F159" s="148"/>
      <c r="G159" s="148"/>
      <c r="I159" s="117"/>
    </row>
    <row r="160" spans="2:9" s="149" customFormat="1" ht="32.25" customHeight="1" x14ac:dyDescent="0.4">
      <c r="B160" s="297"/>
      <c r="C160" s="146"/>
      <c r="D160" s="144"/>
      <c r="E160" s="147"/>
      <c r="F160" s="148"/>
      <c r="G160" s="148"/>
      <c r="I160" s="117"/>
    </row>
    <row r="161" spans="2:9" s="149" customFormat="1" ht="32.25" customHeight="1" x14ac:dyDescent="0.4">
      <c r="B161" s="297"/>
      <c r="C161" s="146"/>
      <c r="D161" s="144"/>
      <c r="E161" s="147"/>
      <c r="F161" s="148"/>
      <c r="G161" s="148"/>
      <c r="I161" s="117"/>
    </row>
    <row r="162" spans="2:9" s="149" customFormat="1" ht="32.25" customHeight="1" x14ac:dyDescent="0.4">
      <c r="B162" s="297"/>
      <c r="C162" s="146"/>
      <c r="D162" s="144"/>
      <c r="E162" s="147"/>
      <c r="F162" s="148"/>
      <c r="G162" s="148"/>
      <c r="I162" s="117"/>
    </row>
    <row r="163" spans="2:9" s="149" customFormat="1" ht="32.25" customHeight="1" x14ac:dyDescent="0.4">
      <c r="B163" s="297"/>
      <c r="C163" s="146"/>
      <c r="D163" s="144"/>
      <c r="E163" s="147"/>
      <c r="F163" s="148"/>
      <c r="G163" s="148"/>
      <c r="I163" s="117"/>
    </row>
  </sheetData>
  <autoFilter ref="B2:H22" xr:uid="{00000000-0009-0000-0000-000003000000}"/>
  <mergeCells count="1">
    <mergeCell ref="B1:H1"/>
  </mergeCells>
  <phoneticPr fontId="2" type="noConversion"/>
  <printOptions horizontalCentered="1"/>
  <pageMargins left="0" right="0" top="0" bottom="0" header="0" footer="0"/>
  <pageSetup paperSize="9" scale="90" orientation="portrait" verticalDpi="18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 filterMode="1">
    <tabColor rgb="FFFFFF00"/>
  </sheetPr>
  <dimension ref="A1:P201"/>
  <sheetViews>
    <sheetView tabSelected="1" zoomScale="70" zoomScaleNormal="70" workbookViewId="0">
      <pane xSplit="5" ySplit="2" topLeftCell="F3" activePane="bottomRight" state="frozen"/>
      <selection pane="topRight" activeCell="E1" sqref="E1"/>
      <selection pane="bottomLeft" activeCell="A3" sqref="A3"/>
      <selection pane="bottomRight" activeCell="C165" sqref="C165"/>
    </sheetView>
  </sheetViews>
  <sheetFormatPr defaultColWidth="9" defaultRowHeight="32.25" customHeight="1" x14ac:dyDescent="0.4"/>
  <cols>
    <col min="1" max="1" width="8.26953125" style="41" customWidth="1"/>
    <col min="2" max="2" width="15.26953125" style="39" customWidth="1"/>
    <col min="3" max="3" width="14.6328125" style="40" bestFit="1" customWidth="1"/>
    <col min="4" max="4" width="16.26953125" style="41" customWidth="1"/>
    <col min="5" max="5" width="28.90625" style="42" customWidth="1"/>
    <col min="6" max="6" width="15" style="41" bestFit="1" customWidth="1"/>
    <col min="7" max="7" width="11.90625" style="113" bestFit="1" customWidth="1"/>
    <col min="8" max="8" width="11.90625" style="40" customWidth="1"/>
    <col min="9" max="9" width="12.26953125" style="40" bestFit="1" customWidth="1"/>
    <col min="10" max="10" width="25.90625" style="40" customWidth="1"/>
    <col min="11" max="11" width="13" style="43" customWidth="1"/>
    <col min="12" max="12" width="15.6328125" style="44" customWidth="1"/>
    <col min="13" max="13" width="34.90625" style="39" customWidth="1"/>
    <col min="14" max="14" width="20.453125" style="41" bestFit="1" customWidth="1"/>
    <col min="15" max="15" width="11.6328125" style="2" bestFit="1" customWidth="1"/>
    <col min="16" max="16384" width="9" style="2"/>
  </cols>
  <sheetData>
    <row r="1" spans="1:15" ht="27.75" customHeight="1" x14ac:dyDescent="0.4">
      <c r="A1" s="796" t="s">
        <v>0</v>
      </c>
      <c r="B1" s="796"/>
      <c r="C1" s="796"/>
      <c r="D1" s="796"/>
      <c r="E1" s="796"/>
      <c r="F1" s="796"/>
      <c r="G1" s="796"/>
      <c r="H1" s="796"/>
      <c r="I1" s="796"/>
      <c r="J1" s="796"/>
      <c r="K1" s="797"/>
      <c r="L1" s="796"/>
      <c r="M1" s="796"/>
      <c r="N1" s="796"/>
    </row>
    <row r="2" spans="1:15" ht="27.75" customHeight="1" x14ac:dyDescent="0.4">
      <c r="A2" s="3" t="s">
        <v>1</v>
      </c>
      <c r="B2" s="3" t="s">
        <v>2</v>
      </c>
      <c r="C2" s="4" t="s">
        <v>146</v>
      </c>
      <c r="D2" s="5" t="s">
        <v>102</v>
      </c>
      <c r="E2" s="4"/>
      <c r="F2" s="6" t="s">
        <v>159</v>
      </c>
      <c r="G2" s="114" t="s">
        <v>3</v>
      </c>
      <c r="H2" s="7" t="s">
        <v>4</v>
      </c>
      <c r="I2" s="8" t="s">
        <v>113</v>
      </c>
      <c r="J2" s="9" t="s">
        <v>112</v>
      </c>
      <c r="K2" s="10" t="s">
        <v>5</v>
      </c>
      <c r="L2" s="11" t="s">
        <v>6</v>
      </c>
      <c r="M2" s="12" t="s">
        <v>7</v>
      </c>
      <c r="N2" s="464"/>
      <c r="O2" s="476" t="s">
        <v>1065</v>
      </c>
    </row>
    <row r="3" spans="1:15" s="141" customFormat="1" ht="32.25" customHeight="1" x14ac:dyDescent="0.4">
      <c r="A3" s="415">
        <v>2</v>
      </c>
      <c r="B3" s="395" t="s">
        <v>111</v>
      </c>
      <c r="C3" s="416" t="s">
        <v>490</v>
      </c>
      <c r="D3" s="415" t="s">
        <v>1596</v>
      </c>
      <c r="E3" s="417" t="s">
        <v>1203</v>
      </c>
      <c r="F3" s="418" t="s">
        <v>826</v>
      </c>
      <c r="G3" s="397">
        <v>160000</v>
      </c>
      <c r="H3" s="419"/>
      <c r="I3" s="420"/>
      <c r="J3" s="421"/>
      <c r="K3" s="422">
        <v>1.5</v>
      </c>
      <c r="L3" s="423">
        <v>5000</v>
      </c>
      <c r="M3" s="401" t="s">
        <v>827</v>
      </c>
      <c r="N3" s="574" t="s">
        <v>1838</v>
      </c>
      <c r="O3" s="575"/>
    </row>
    <row r="4" spans="1:15" s="117" customFormat="1" ht="32.25" hidden="1" customHeight="1" x14ac:dyDescent="0.4">
      <c r="A4" s="17">
        <v>13</v>
      </c>
      <c r="B4" s="3" t="s">
        <v>13</v>
      </c>
      <c r="C4" s="18" t="s">
        <v>14</v>
      </c>
      <c r="D4" s="17" t="s">
        <v>106</v>
      </c>
      <c r="E4" s="19" t="s">
        <v>107</v>
      </c>
      <c r="F4" s="20" t="s">
        <v>15</v>
      </c>
      <c r="G4" s="110">
        <v>20000</v>
      </c>
      <c r="H4" s="21"/>
      <c r="I4" s="22"/>
      <c r="J4" s="23"/>
      <c r="K4" s="24">
        <v>1.5</v>
      </c>
      <c r="L4" s="25">
        <v>3000</v>
      </c>
      <c r="M4" s="26" t="s">
        <v>378</v>
      </c>
      <c r="N4" s="525" t="s">
        <v>1838</v>
      </c>
      <c r="O4" s="442"/>
    </row>
    <row r="5" spans="1:15" s="117" customFormat="1" ht="32.25" hidden="1" customHeight="1" x14ac:dyDescent="0.4">
      <c r="A5" s="5">
        <v>15</v>
      </c>
      <c r="B5" s="33" t="s">
        <v>245</v>
      </c>
      <c r="C5" s="4" t="s">
        <v>16</v>
      </c>
      <c r="D5" s="5" t="s">
        <v>16</v>
      </c>
      <c r="E5" s="36" t="s">
        <v>905</v>
      </c>
      <c r="F5" s="6"/>
      <c r="G5" s="108">
        <v>130000</v>
      </c>
      <c r="H5" s="7"/>
      <c r="I5" s="8"/>
      <c r="J5" s="9"/>
      <c r="K5" s="380">
        <v>2</v>
      </c>
      <c r="L5" s="381">
        <v>200</v>
      </c>
      <c r="M5" s="123"/>
      <c r="N5" s="525" t="s">
        <v>1838</v>
      </c>
      <c r="O5" s="442"/>
    </row>
    <row r="6" spans="1:15" s="117" customFormat="1" ht="32.25" hidden="1" customHeight="1" x14ac:dyDescent="0.4">
      <c r="A6" s="5">
        <v>16</v>
      </c>
      <c r="B6" s="33" t="s">
        <v>245</v>
      </c>
      <c r="C6" s="4" t="s">
        <v>800</v>
      </c>
      <c r="D6" s="5" t="s">
        <v>800</v>
      </c>
      <c r="E6" s="36" t="s">
        <v>910</v>
      </c>
      <c r="F6" s="6"/>
      <c r="G6" s="108">
        <v>130000</v>
      </c>
      <c r="H6" s="7"/>
      <c r="I6" s="8"/>
      <c r="J6" s="9"/>
      <c r="K6" s="380">
        <v>2</v>
      </c>
      <c r="L6" s="381"/>
      <c r="M6" s="123" t="s">
        <v>511</v>
      </c>
      <c r="N6" s="525" t="s">
        <v>1838</v>
      </c>
      <c r="O6" s="442"/>
    </row>
    <row r="7" spans="1:15" s="27" customFormat="1" ht="32.25" hidden="1" customHeight="1" x14ac:dyDescent="0.4">
      <c r="A7" s="17">
        <v>17</v>
      </c>
      <c r="B7" s="3" t="s">
        <v>18</v>
      </c>
      <c r="C7" s="18" t="s">
        <v>19</v>
      </c>
      <c r="D7" s="17" t="s">
        <v>19</v>
      </c>
      <c r="E7" s="19" t="s">
        <v>20</v>
      </c>
      <c r="F7" s="20" t="s">
        <v>21</v>
      </c>
      <c r="G7" s="110">
        <v>10000</v>
      </c>
      <c r="H7" s="21"/>
      <c r="I7" s="22"/>
      <c r="J7" s="23"/>
      <c r="K7" s="24"/>
      <c r="L7" s="25"/>
      <c r="M7" s="26"/>
      <c r="N7" s="466" t="s">
        <v>10</v>
      </c>
      <c r="O7" s="478"/>
    </row>
    <row r="8" spans="1:15" s="27" customFormat="1" ht="32.25" hidden="1" customHeight="1" x14ac:dyDescent="0.4">
      <c r="A8" s="17">
        <v>18</v>
      </c>
      <c r="B8" s="3" t="s">
        <v>22</v>
      </c>
      <c r="C8" s="18" t="s">
        <v>19</v>
      </c>
      <c r="D8" s="17" t="s">
        <v>19</v>
      </c>
      <c r="E8" s="19" t="s">
        <v>23</v>
      </c>
      <c r="F8" s="20"/>
      <c r="G8" s="110">
        <v>40000</v>
      </c>
      <c r="H8" s="21"/>
      <c r="I8" s="22"/>
      <c r="J8" s="23"/>
      <c r="K8" s="24"/>
      <c r="L8" s="25"/>
      <c r="M8" s="26"/>
      <c r="N8" s="466" t="s">
        <v>10</v>
      </c>
      <c r="O8" s="478"/>
    </row>
    <row r="9" spans="1:15" s="375" customFormat="1" ht="32.25" customHeight="1" x14ac:dyDescent="0.4">
      <c r="A9" s="415">
        <v>20</v>
      </c>
      <c r="B9" s="364" t="s">
        <v>1326</v>
      </c>
      <c r="C9" s="365" t="s">
        <v>11</v>
      </c>
      <c r="D9" s="363" t="s">
        <v>1327</v>
      </c>
      <c r="E9" s="532" t="s">
        <v>1597</v>
      </c>
      <c r="F9" s="384" t="s">
        <v>1230</v>
      </c>
      <c r="G9" s="368">
        <v>200000</v>
      </c>
      <c r="H9" s="369"/>
      <c r="I9" s="370"/>
      <c r="J9" s="371"/>
      <c r="K9" s="372">
        <v>1.5</v>
      </c>
      <c r="L9" s="373">
        <v>5000</v>
      </c>
      <c r="M9" s="374" t="s">
        <v>1328</v>
      </c>
      <c r="N9" s="470"/>
      <c r="O9" s="482"/>
    </row>
    <row r="10" spans="1:15" s="130" customFormat="1" ht="32.25" customHeight="1" x14ac:dyDescent="0.4">
      <c r="A10" s="152">
        <v>21</v>
      </c>
      <c r="B10" s="152" t="s">
        <v>111</v>
      </c>
      <c r="C10" s="152" t="s">
        <v>11</v>
      </c>
      <c r="D10" s="152" t="s">
        <v>104</v>
      </c>
      <c r="E10" s="330" t="s">
        <v>1329</v>
      </c>
      <c r="F10" s="152" t="s">
        <v>369</v>
      </c>
      <c r="G10" s="153">
        <v>80000</v>
      </c>
      <c r="H10" s="331"/>
      <c r="I10" s="152"/>
      <c r="J10" s="332"/>
      <c r="K10" s="190">
        <v>1.5</v>
      </c>
      <c r="L10" s="132">
        <v>5000</v>
      </c>
      <c r="M10" s="176" t="s">
        <v>325</v>
      </c>
      <c r="N10" s="468"/>
      <c r="O10" s="480"/>
    </row>
    <row r="11" spans="1:15" s="130" customFormat="1" ht="32.25" customHeight="1" x14ac:dyDescent="0.4">
      <c r="A11" s="152">
        <v>26</v>
      </c>
      <c r="B11" s="152" t="s">
        <v>2965</v>
      </c>
      <c r="C11" s="152" t="s">
        <v>200</v>
      </c>
      <c r="D11" s="152" t="s">
        <v>201</v>
      </c>
      <c r="E11" s="330" t="s">
        <v>2966</v>
      </c>
      <c r="F11" s="742" t="s">
        <v>2967</v>
      </c>
      <c r="G11" s="153">
        <v>109250</v>
      </c>
      <c r="H11" s="331"/>
      <c r="I11" s="152"/>
      <c r="J11" s="332"/>
      <c r="K11" s="190">
        <v>1.3</v>
      </c>
      <c r="L11" s="132">
        <v>5000</v>
      </c>
      <c r="M11" s="176" t="s">
        <v>2968</v>
      </c>
      <c r="N11" s="468"/>
      <c r="O11" s="480"/>
    </row>
    <row r="12" spans="1:15" s="130" customFormat="1" ht="32.25" customHeight="1" x14ac:dyDescent="0.4">
      <c r="A12" s="152">
        <v>31</v>
      </c>
      <c r="B12" s="152" t="s">
        <v>1520</v>
      </c>
      <c r="C12" s="4" t="s">
        <v>11</v>
      </c>
      <c r="D12" s="5" t="s">
        <v>105</v>
      </c>
      <c r="E12" s="36" t="s">
        <v>1627</v>
      </c>
      <c r="F12" s="526" t="s">
        <v>1518</v>
      </c>
      <c r="G12" s="108">
        <v>90000</v>
      </c>
      <c r="H12" s="331"/>
      <c r="I12" s="152"/>
      <c r="J12" s="332"/>
      <c r="K12" s="190">
        <v>1</v>
      </c>
      <c r="L12" s="132">
        <v>3000</v>
      </c>
      <c r="M12" s="176"/>
      <c r="N12" s="466" t="s">
        <v>10</v>
      </c>
      <c r="O12" s="480"/>
    </row>
    <row r="13" spans="1:15" s="130" customFormat="1" ht="32.25" customHeight="1" x14ac:dyDescent="0.4">
      <c r="A13" s="152">
        <v>38</v>
      </c>
      <c r="B13" s="33" t="s">
        <v>2345</v>
      </c>
      <c r="C13" s="4" t="s">
        <v>200</v>
      </c>
      <c r="D13" s="5" t="s">
        <v>201</v>
      </c>
      <c r="E13" s="36" t="s">
        <v>2336</v>
      </c>
      <c r="F13" s="526" t="s">
        <v>2337</v>
      </c>
      <c r="G13" s="108">
        <v>150000</v>
      </c>
      <c r="H13" s="331"/>
      <c r="I13" s="152"/>
      <c r="J13" s="332"/>
      <c r="K13" s="190">
        <v>1.5</v>
      </c>
      <c r="L13" s="132">
        <v>5000</v>
      </c>
      <c r="M13" s="176" t="s">
        <v>2338</v>
      </c>
      <c r="N13" s="466"/>
      <c r="O13" s="480"/>
    </row>
    <row r="14" spans="1:15" ht="32.25" hidden="1" customHeight="1" x14ac:dyDescent="0.4">
      <c r="A14" s="5">
        <v>39</v>
      </c>
      <c r="B14" s="33" t="s">
        <v>2345</v>
      </c>
      <c r="C14" s="4" t="s">
        <v>152</v>
      </c>
      <c r="D14" s="4" t="s">
        <v>152</v>
      </c>
      <c r="E14" s="36" t="s">
        <v>1628</v>
      </c>
      <c r="F14" s="34" t="s">
        <v>1615</v>
      </c>
      <c r="G14" s="108">
        <v>80000</v>
      </c>
      <c r="H14" s="4"/>
      <c r="I14" s="4"/>
      <c r="J14" s="4"/>
      <c r="K14" s="560">
        <v>2</v>
      </c>
      <c r="L14" s="561">
        <v>220</v>
      </c>
      <c r="M14" s="123" t="s">
        <v>511</v>
      </c>
      <c r="N14" s="464"/>
      <c r="O14" s="476"/>
    </row>
    <row r="15" spans="1:15" s="130" customFormat="1" ht="32.25" hidden="1" customHeight="1" x14ac:dyDescent="0.4">
      <c r="A15" s="152">
        <v>51</v>
      </c>
      <c r="B15" s="152" t="s">
        <v>30</v>
      </c>
      <c r="C15" s="152" t="s">
        <v>152</v>
      </c>
      <c r="D15" s="152" t="s">
        <v>152</v>
      </c>
      <c r="E15" s="330" t="s">
        <v>948</v>
      </c>
      <c r="F15" s="32">
        <v>41372</v>
      </c>
      <c r="G15" s="153">
        <v>37500</v>
      </c>
      <c r="H15" s="331"/>
      <c r="I15" s="152"/>
      <c r="J15" s="332"/>
      <c r="K15" s="190">
        <v>2</v>
      </c>
      <c r="L15" s="132">
        <v>220</v>
      </c>
      <c r="M15" s="176" t="s">
        <v>818</v>
      </c>
      <c r="N15" s="468" t="s">
        <v>10</v>
      </c>
      <c r="O15" s="480"/>
    </row>
    <row r="16" spans="1:15" s="27" customFormat="1" ht="32.25" hidden="1" customHeight="1" x14ac:dyDescent="0.4">
      <c r="A16" s="17">
        <v>52</v>
      </c>
      <c r="B16" s="3" t="s">
        <v>30</v>
      </c>
      <c r="C16" s="18" t="s">
        <v>152</v>
      </c>
      <c r="D16" s="18" t="s">
        <v>152</v>
      </c>
      <c r="E16" s="19" t="s">
        <v>611</v>
      </c>
      <c r="F16" s="32">
        <v>41372</v>
      </c>
      <c r="G16" s="110">
        <v>37500</v>
      </c>
      <c r="H16" s="28"/>
      <c r="I16" s="18"/>
      <c r="J16" s="29"/>
      <c r="K16" s="30">
        <v>2</v>
      </c>
      <c r="L16" s="31">
        <v>220</v>
      </c>
      <c r="M16" s="26" t="s">
        <v>31</v>
      </c>
      <c r="N16" s="466" t="s">
        <v>10</v>
      </c>
      <c r="O16" s="478"/>
    </row>
    <row r="17" spans="1:16" s="27" customFormat="1" ht="32.25" hidden="1" customHeight="1" x14ac:dyDescent="0.4">
      <c r="A17" s="17">
        <v>53</v>
      </c>
      <c r="B17" s="3" t="s">
        <v>30</v>
      </c>
      <c r="C17" s="18" t="s">
        <v>32</v>
      </c>
      <c r="D17" s="18" t="s">
        <v>32</v>
      </c>
      <c r="E17" s="19" t="s">
        <v>32</v>
      </c>
      <c r="F17" s="32">
        <v>41372</v>
      </c>
      <c r="G17" s="110">
        <v>6000</v>
      </c>
      <c r="H17" s="28"/>
      <c r="I17" s="18"/>
      <c r="J17" s="29"/>
      <c r="K17" s="30">
        <v>1</v>
      </c>
      <c r="L17" s="31">
        <v>2500</v>
      </c>
      <c r="M17" s="26"/>
      <c r="N17" s="466" t="s">
        <v>10</v>
      </c>
      <c r="O17" s="478"/>
    </row>
    <row r="18" spans="1:16" s="141" customFormat="1" ht="32.25" customHeight="1" x14ac:dyDescent="0.4">
      <c r="A18" s="139">
        <v>55</v>
      </c>
      <c r="B18" s="666" t="s">
        <v>111</v>
      </c>
      <c r="C18" s="138" t="s">
        <v>766</v>
      </c>
      <c r="D18" s="139" t="s">
        <v>270</v>
      </c>
      <c r="E18" s="143" t="s">
        <v>2907</v>
      </c>
      <c r="F18" s="140">
        <v>41382</v>
      </c>
      <c r="G18" s="668">
        <v>200000</v>
      </c>
      <c r="H18" s="694"/>
      <c r="I18" s="722"/>
      <c r="J18" s="723"/>
      <c r="K18" s="724">
        <v>1.8</v>
      </c>
      <c r="L18" s="725">
        <v>6000</v>
      </c>
      <c r="M18" s="726" t="s">
        <v>101</v>
      </c>
      <c r="N18" s="574"/>
      <c r="O18" s="575"/>
    </row>
    <row r="19" spans="1:16" s="402" customFormat="1" ht="32.25" hidden="1" customHeight="1" x14ac:dyDescent="0.4">
      <c r="A19" s="415">
        <v>59</v>
      </c>
      <c r="B19" s="395" t="s">
        <v>254</v>
      </c>
      <c r="C19" s="416" t="s">
        <v>240</v>
      </c>
      <c r="D19" s="415" t="s">
        <v>235</v>
      </c>
      <c r="E19" s="417" t="s">
        <v>110</v>
      </c>
      <c r="F19" s="498">
        <v>41403</v>
      </c>
      <c r="G19" s="397">
        <v>210000</v>
      </c>
      <c r="H19" s="419"/>
      <c r="I19" s="420"/>
      <c r="J19" s="421"/>
      <c r="K19" s="422">
        <v>2</v>
      </c>
      <c r="L19" s="423">
        <v>4700</v>
      </c>
      <c r="M19" s="401" t="s">
        <v>1336</v>
      </c>
      <c r="N19" s="465" t="s">
        <v>1337</v>
      </c>
      <c r="O19" s="477"/>
    </row>
    <row r="20" spans="1:16" s="157" customFormat="1" ht="32.25" hidden="1" customHeight="1" x14ac:dyDescent="0.4">
      <c r="A20" s="155">
        <v>60</v>
      </c>
      <c r="B20" s="152" t="s">
        <v>1766</v>
      </c>
      <c r="C20" s="172" t="s">
        <v>1470</v>
      </c>
      <c r="D20" s="155" t="s">
        <v>1471</v>
      </c>
      <c r="E20" s="180" t="s">
        <v>1764</v>
      </c>
      <c r="F20" s="177">
        <v>41403</v>
      </c>
      <c r="G20" s="153">
        <v>220000</v>
      </c>
      <c r="H20" s="191"/>
      <c r="I20" s="156"/>
      <c r="J20" s="529"/>
      <c r="K20" s="530">
        <v>2</v>
      </c>
      <c r="L20" s="531">
        <v>3000</v>
      </c>
      <c r="M20" s="176" t="s">
        <v>1042</v>
      </c>
      <c r="N20" s="467"/>
      <c r="O20" s="479" t="s">
        <v>1472</v>
      </c>
    </row>
    <row r="21" spans="1:16" s="113" customFormat="1" ht="32.25" customHeight="1" x14ac:dyDescent="0.4">
      <c r="A21" s="155">
        <v>64</v>
      </c>
      <c r="B21" s="33" t="s">
        <v>1927</v>
      </c>
      <c r="C21" s="4" t="s">
        <v>1928</v>
      </c>
      <c r="D21" s="5" t="s">
        <v>1929</v>
      </c>
      <c r="E21" s="36" t="s">
        <v>1930</v>
      </c>
      <c r="F21" s="34">
        <v>41428</v>
      </c>
      <c r="G21" s="108">
        <v>110000</v>
      </c>
      <c r="H21" s="4"/>
      <c r="I21" s="4"/>
      <c r="J21" s="4"/>
      <c r="K21" s="38">
        <v>1.5</v>
      </c>
      <c r="L21" s="516">
        <v>3000</v>
      </c>
      <c r="M21" s="188"/>
      <c r="N21" s="464" t="s">
        <v>1942</v>
      </c>
      <c r="O21" s="476"/>
      <c r="P21" s="2"/>
    </row>
    <row r="22" spans="1:16" ht="41.25" hidden="1" customHeight="1" x14ac:dyDescent="0.4">
      <c r="A22" s="8">
        <v>70</v>
      </c>
      <c r="B22" s="33" t="s">
        <v>1845</v>
      </c>
      <c r="C22" s="4" t="s">
        <v>633</v>
      </c>
      <c r="D22" s="5" t="s">
        <v>1309</v>
      </c>
      <c r="E22" s="577" t="s">
        <v>1862</v>
      </c>
      <c r="F22" s="34">
        <v>41505</v>
      </c>
      <c r="G22" s="108">
        <v>250000</v>
      </c>
      <c r="H22" s="4"/>
      <c r="I22" s="4"/>
      <c r="J22" s="4"/>
      <c r="K22" s="38">
        <v>4</v>
      </c>
      <c r="L22" s="516">
        <v>4000</v>
      </c>
      <c r="M22" s="33" t="s">
        <v>1846</v>
      </c>
      <c r="N22" s="464" t="s">
        <v>1847</v>
      </c>
      <c r="O22" s="476"/>
    </row>
    <row r="23" spans="1:16" ht="32.25" hidden="1" customHeight="1" x14ac:dyDescent="0.4">
      <c r="A23" s="5">
        <v>71</v>
      </c>
      <c r="B23" s="33" t="s">
        <v>111</v>
      </c>
      <c r="C23" s="4" t="s">
        <v>14</v>
      </c>
      <c r="D23" s="5" t="s">
        <v>105</v>
      </c>
      <c r="E23" s="36" t="s">
        <v>1356</v>
      </c>
      <c r="F23" s="34">
        <v>41513</v>
      </c>
      <c r="G23" s="108">
        <v>240000</v>
      </c>
      <c r="H23" s="7"/>
      <c r="I23" s="8"/>
      <c r="J23" s="9"/>
      <c r="K23" s="553">
        <v>2</v>
      </c>
      <c r="L23" s="554">
        <v>4300</v>
      </c>
      <c r="M23" s="123" t="s">
        <v>1438</v>
      </c>
      <c r="N23" s="464"/>
      <c r="O23" s="476"/>
    </row>
    <row r="24" spans="1:16" s="157" customFormat="1" ht="32.25" customHeight="1" x14ac:dyDescent="0.4">
      <c r="A24" s="191">
        <v>74</v>
      </c>
      <c r="B24" s="191" t="s">
        <v>2693</v>
      </c>
      <c r="C24" s="191" t="s">
        <v>2677</v>
      </c>
      <c r="D24" s="191" t="s">
        <v>2678</v>
      </c>
      <c r="E24" s="311" t="s">
        <v>2692</v>
      </c>
      <c r="F24" s="191" t="s">
        <v>2694</v>
      </c>
      <c r="G24" s="153">
        <v>130000</v>
      </c>
      <c r="H24" s="191" t="s">
        <v>2733</v>
      </c>
      <c r="I24" s="156"/>
      <c r="J24" s="529" t="s">
        <v>3142</v>
      </c>
      <c r="K24" s="458">
        <v>1.5</v>
      </c>
      <c r="L24" s="191">
        <v>4300</v>
      </c>
      <c r="M24" s="191" t="s">
        <v>2695</v>
      </c>
      <c r="N24" s="467"/>
      <c r="O24" s="479"/>
    </row>
    <row r="25" spans="1:16" s="27" customFormat="1" ht="32.25" customHeight="1" x14ac:dyDescent="0.4">
      <c r="A25" s="17">
        <v>75</v>
      </c>
      <c r="B25" s="3" t="s">
        <v>111</v>
      </c>
      <c r="C25" s="18" t="s">
        <v>11</v>
      </c>
      <c r="D25" s="17" t="s">
        <v>105</v>
      </c>
      <c r="E25" s="19" t="s">
        <v>131</v>
      </c>
      <c r="F25" s="32">
        <v>41563</v>
      </c>
      <c r="G25" s="110">
        <v>150000</v>
      </c>
      <c r="H25" s="28"/>
      <c r="I25" s="18"/>
      <c r="J25" s="29"/>
      <c r="K25" s="37">
        <v>1.4</v>
      </c>
      <c r="L25" s="31">
        <v>3000</v>
      </c>
      <c r="M25" s="35" t="s">
        <v>388</v>
      </c>
      <c r="N25" s="466"/>
      <c r="O25" s="478"/>
    </row>
    <row r="26" spans="1:16" s="27" customFormat="1" ht="32.25" customHeight="1" x14ac:dyDescent="0.4">
      <c r="A26" s="17">
        <v>85</v>
      </c>
      <c r="B26" s="3" t="s">
        <v>8</v>
      </c>
      <c r="C26" s="18" t="s">
        <v>11</v>
      </c>
      <c r="D26" s="17" t="s">
        <v>105</v>
      </c>
      <c r="E26" s="19" t="s">
        <v>1607</v>
      </c>
      <c r="F26" s="32">
        <v>41641</v>
      </c>
      <c r="G26" s="110">
        <v>65000</v>
      </c>
      <c r="H26" s="28"/>
      <c r="I26" s="18"/>
      <c r="J26" s="29"/>
      <c r="K26" s="37">
        <v>1.5</v>
      </c>
      <c r="L26" s="31">
        <v>4700</v>
      </c>
      <c r="M26" s="26" t="s">
        <v>393</v>
      </c>
      <c r="N26" s="466" t="s">
        <v>1585</v>
      </c>
      <c r="O26" s="478"/>
    </row>
    <row r="27" spans="1:16" s="402" customFormat="1" ht="32.25" customHeight="1" x14ac:dyDescent="0.4">
      <c r="A27" s="415">
        <v>87</v>
      </c>
      <c r="B27" s="395" t="s">
        <v>111</v>
      </c>
      <c r="C27" s="416" t="s">
        <v>822</v>
      </c>
      <c r="D27" s="415" t="s">
        <v>105</v>
      </c>
      <c r="E27" s="417" t="s">
        <v>175</v>
      </c>
      <c r="F27" s="418" t="s">
        <v>315</v>
      </c>
      <c r="G27" s="397">
        <v>150000</v>
      </c>
      <c r="H27" s="419"/>
      <c r="I27" s="420"/>
      <c r="J27" s="421"/>
      <c r="K27" s="422">
        <v>1.5</v>
      </c>
      <c r="L27" s="423">
        <v>5000</v>
      </c>
      <c r="M27" s="401" t="s">
        <v>823</v>
      </c>
      <c r="N27" s="465" t="s">
        <v>1321</v>
      </c>
      <c r="O27" s="477"/>
    </row>
    <row r="28" spans="1:16" s="157" customFormat="1" ht="32.25" customHeight="1" x14ac:dyDescent="0.4">
      <c r="A28" s="155">
        <v>88</v>
      </c>
      <c r="B28" s="152" t="s">
        <v>2254</v>
      </c>
      <c r="C28" s="172" t="s">
        <v>200</v>
      </c>
      <c r="D28" s="155" t="s">
        <v>201</v>
      </c>
      <c r="E28" s="180" t="s">
        <v>2149</v>
      </c>
      <c r="F28" s="173" t="s">
        <v>2150</v>
      </c>
      <c r="G28" s="153">
        <v>150000</v>
      </c>
      <c r="H28" s="191"/>
      <c r="I28" s="156"/>
      <c r="J28" s="529"/>
      <c r="K28" s="530">
        <v>1.5</v>
      </c>
      <c r="L28" s="531">
        <v>5000</v>
      </c>
      <c r="M28" s="176" t="s">
        <v>2151</v>
      </c>
      <c r="N28" s="464" t="s">
        <v>1942</v>
      </c>
      <c r="O28" s="479"/>
    </row>
    <row r="29" spans="1:16" s="157" customFormat="1" ht="32.25" hidden="1" customHeight="1" x14ac:dyDescent="0.4">
      <c r="A29" s="155">
        <v>89</v>
      </c>
      <c r="B29" s="152" t="s">
        <v>2746</v>
      </c>
      <c r="C29" s="172" t="s">
        <v>2440</v>
      </c>
      <c r="D29" s="155" t="s">
        <v>201</v>
      </c>
      <c r="E29" s="180" t="s">
        <v>2441</v>
      </c>
      <c r="F29" s="177">
        <v>41661</v>
      </c>
      <c r="G29" s="153">
        <v>140000</v>
      </c>
      <c r="H29" s="191" t="s">
        <v>2747</v>
      </c>
      <c r="I29" s="156"/>
      <c r="J29" s="529"/>
      <c r="K29" s="190">
        <v>1.5</v>
      </c>
      <c r="L29" s="313">
        <v>3000</v>
      </c>
      <c r="M29" s="331" t="s">
        <v>396</v>
      </c>
      <c r="N29" s="467"/>
      <c r="O29" s="479"/>
    </row>
    <row r="30" spans="1:16" s="157" customFormat="1" ht="32.25" hidden="1" customHeight="1" x14ac:dyDescent="0.4">
      <c r="A30" s="155">
        <v>91</v>
      </c>
      <c r="B30" s="152" t="s">
        <v>745</v>
      </c>
      <c r="C30" s="172" t="s">
        <v>746</v>
      </c>
      <c r="D30" s="155" t="s">
        <v>746</v>
      </c>
      <c r="E30" s="180" t="s">
        <v>747</v>
      </c>
      <c r="F30" s="129">
        <v>41682</v>
      </c>
      <c r="G30" s="153">
        <v>80000</v>
      </c>
      <c r="H30" s="295"/>
      <c r="I30" s="172"/>
      <c r="J30" s="172"/>
      <c r="K30" s="174"/>
      <c r="L30" s="175"/>
      <c r="M30" s="176" t="s">
        <v>748</v>
      </c>
      <c r="N30" s="467"/>
      <c r="O30" s="479"/>
    </row>
    <row r="31" spans="1:16" s="157" customFormat="1" ht="32.25" hidden="1" customHeight="1" x14ac:dyDescent="0.4">
      <c r="A31" s="155">
        <v>97</v>
      </c>
      <c r="B31" s="152" t="s">
        <v>111</v>
      </c>
      <c r="C31" s="172" t="s">
        <v>14</v>
      </c>
      <c r="D31" s="155" t="s">
        <v>104</v>
      </c>
      <c r="E31" s="180" t="s">
        <v>209</v>
      </c>
      <c r="F31" s="177" t="s">
        <v>193</v>
      </c>
      <c r="G31" s="153">
        <v>150000</v>
      </c>
      <c r="H31" s="7"/>
      <c r="I31" s="8"/>
      <c r="J31" s="5"/>
      <c r="K31" s="190">
        <v>1.5</v>
      </c>
      <c r="L31" s="154"/>
      <c r="M31" s="176">
        <v>2000</v>
      </c>
      <c r="N31" s="467"/>
      <c r="O31" s="479"/>
    </row>
    <row r="32" spans="1:16" s="113" customFormat="1" ht="32.25" hidden="1" customHeight="1" x14ac:dyDescent="0.4">
      <c r="A32" s="155">
        <v>98</v>
      </c>
      <c r="B32" s="33" t="s">
        <v>1931</v>
      </c>
      <c r="C32" s="4" t="s">
        <v>1932</v>
      </c>
      <c r="D32" s="5"/>
      <c r="E32" s="36" t="s">
        <v>1933</v>
      </c>
      <c r="F32" s="34" t="s">
        <v>1949</v>
      </c>
      <c r="G32" s="108">
        <v>100000</v>
      </c>
      <c r="H32" s="4"/>
      <c r="I32" s="4"/>
      <c r="J32" s="4"/>
      <c r="K32" s="38">
        <v>2</v>
      </c>
      <c r="L32" s="516"/>
      <c r="M32" s="188">
        <v>2007</v>
      </c>
      <c r="N32" s="464"/>
      <c r="O32" s="476"/>
      <c r="P32" s="2"/>
    </row>
    <row r="33" spans="1:16" s="113" customFormat="1" ht="32.25" hidden="1" customHeight="1" x14ac:dyDescent="0.4">
      <c r="A33" s="155">
        <v>101</v>
      </c>
      <c r="B33" s="33" t="s">
        <v>2185</v>
      </c>
      <c r="C33" s="5" t="s">
        <v>1547</v>
      </c>
      <c r="D33" s="155" t="s">
        <v>1031</v>
      </c>
      <c r="E33" s="36" t="s">
        <v>2182</v>
      </c>
      <c r="F33" s="34" t="s">
        <v>2183</v>
      </c>
      <c r="G33" s="113">
        <v>135000</v>
      </c>
      <c r="H33" s="493" t="s">
        <v>2186</v>
      </c>
      <c r="I33" s="4"/>
      <c r="J33" s="427"/>
      <c r="K33" s="152">
        <v>1.5</v>
      </c>
      <c r="L33" s="172">
        <v>3000</v>
      </c>
      <c r="M33" s="602" t="s">
        <v>788</v>
      </c>
      <c r="N33" s="464"/>
      <c r="O33" s="476"/>
      <c r="P33" s="2"/>
    </row>
    <row r="34" spans="1:16" s="157" customFormat="1" ht="32.25" hidden="1" customHeight="1" x14ac:dyDescent="0.4">
      <c r="A34" s="152">
        <v>108</v>
      </c>
      <c r="B34" s="152" t="s">
        <v>1233</v>
      </c>
      <c r="C34" s="152" t="s">
        <v>1234</v>
      </c>
      <c r="D34" s="152" t="s">
        <v>1234</v>
      </c>
      <c r="E34" s="330" t="s">
        <v>1235</v>
      </c>
      <c r="F34" s="152" t="s">
        <v>1236</v>
      </c>
      <c r="G34" s="153">
        <v>95000</v>
      </c>
      <c r="H34" s="331"/>
      <c r="I34" s="152"/>
      <c r="J34" s="332"/>
      <c r="K34" s="190">
        <v>2</v>
      </c>
      <c r="L34" s="313"/>
      <c r="M34" s="176" t="s">
        <v>1237</v>
      </c>
      <c r="N34" s="467"/>
      <c r="O34" s="476" t="s">
        <v>1238</v>
      </c>
    </row>
    <row r="35" spans="1:16" s="157" customFormat="1" ht="30.75" customHeight="1" x14ac:dyDescent="0.4">
      <c r="A35" s="191">
        <v>112</v>
      </c>
      <c r="B35" s="191" t="s">
        <v>111</v>
      </c>
      <c r="C35" s="191" t="s">
        <v>11</v>
      </c>
      <c r="D35" s="191" t="s">
        <v>104</v>
      </c>
      <c r="E35" s="311" t="s">
        <v>260</v>
      </c>
      <c r="F35" s="191" t="s">
        <v>259</v>
      </c>
      <c r="G35" s="153">
        <v>70000</v>
      </c>
      <c r="H35" s="191"/>
      <c r="I35" s="191"/>
      <c r="J35" s="312"/>
      <c r="K35" s="458">
        <v>1.5</v>
      </c>
      <c r="L35" s="191">
        <v>5000</v>
      </c>
      <c r="M35" s="191" t="s">
        <v>261</v>
      </c>
      <c r="N35" s="191" t="s">
        <v>10</v>
      </c>
      <c r="O35" s="479"/>
    </row>
    <row r="36" spans="1:16" ht="32.25" hidden="1" customHeight="1" x14ac:dyDescent="0.4">
      <c r="A36" s="33">
        <v>116</v>
      </c>
      <c r="B36" s="33" t="s">
        <v>544</v>
      </c>
      <c r="C36" s="33" t="s">
        <v>746</v>
      </c>
      <c r="D36" s="33" t="s">
        <v>270</v>
      </c>
      <c r="E36" s="124" t="s">
        <v>1258</v>
      </c>
      <c r="F36" s="33" t="s">
        <v>288</v>
      </c>
      <c r="G36" s="426">
        <v>128000</v>
      </c>
      <c r="H36" s="33"/>
      <c r="I36" s="33"/>
      <c r="J36" s="427"/>
      <c r="K36" s="38">
        <v>2</v>
      </c>
      <c r="L36" s="33"/>
      <c r="M36" s="33">
        <v>2010</v>
      </c>
      <c r="N36" s="472"/>
      <c r="O36" s="476"/>
    </row>
    <row r="37" spans="1:16" s="117" customFormat="1" ht="32.25" customHeight="1" x14ac:dyDescent="0.4">
      <c r="A37" s="120">
        <v>121</v>
      </c>
      <c r="B37" s="120" t="s">
        <v>8</v>
      </c>
      <c r="C37" s="120" t="s">
        <v>11</v>
      </c>
      <c r="D37" s="120" t="s">
        <v>108</v>
      </c>
      <c r="E37" s="133" t="s">
        <v>281</v>
      </c>
      <c r="F37" s="120" t="s">
        <v>272</v>
      </c>
      <c r="G37" s="109">
        <v>85000</v>
      </c>
      <c r="H37" s="28"/>
      <c r="I37" s="120"/>
      <c r="J37" s="120"/>
      <c r="K37" s="517">
        <v>1.8</v>
      </c>
      <c r="L37" s="120">
        <v>4500</v>
      </c>
      <c r="M37" s="120">
        <v>2003</v>
      </c>
      <c r="N37" s="525" t="s">
        <v>1321</v>
      </c>
      <c r="O37" s="442"/>
    </row>
    <row r="38" spans="1:16" s="300" customFormat="1" ht="32.25" hidden="1" customHeight="1" x14ac:dyDescent="0.4">
      <c r="A38" s="155">
        <v>123</v>
      </c>
      <c r="B38" s="152" t="s">
        <v>1934</v>
      </c>
      <c r="C38" s="172" t="s">
        <v>1935</v>
      </c>
      <c r="D38" s="155" t="s">
        <v>1936</v>
      </c>
      <c r="E38" s="180" t="s">
        <v>1937</v>
      </c>
      <c r="F38" s="177" t="s">
        <v>1938</v>
      </c>
      <c r="G38" s="153">
        <v>370000</v>
      </c>
      <c r="H38" s="172" t="s">
        <v>2553</v>
      </c>
      <c r="I38" s="681" t="s">
        <v>2472</v>
      </c>
      <c r="J38" s="172" t="s">
        <v>3143</v>
      </c>
      <c r="K38" s="190">
        <v>2.5</v>
      </c>
      <c r="L38" s="313">
        <v>4000</v>
      </c>
      <c r="M38" s="675">
        <v>2001</v>
      </c>
      <c r="N38" s="467"/>
      <c r="O38" s="479" t="s">
        <v>1037</v>
      </c>
      <c r="P38" s="157" t="s">
        <v>2130</v>
      </c>
    </row>
    <row r="39" spans="1:16" s="113" customFormat="1" ht="32.25" hidden="1" customHeight="1" x14ac:dyDescent="0.4">
      <c r="A39" s="155">
        <v>124</v>
      </c>
      <c r="B39" s="33" t="s">
        <v>1934</v>
      </c>
      <c r="C39" s="4" t="s">
        <v>1935</v>
      </c>
      <c r="D39" s="5" t="s">
        <v>1936</v>
      </c>
      <c r="E39" s="36" t="s">
        <v>1939</v>
      </c>
      <c r="F39" s="34" t="s">
        <v>1950</v>
      </c>
      <c r="G39" s="108">
        <v>420000</v>
      </c>
      <c r="H39" s="4"/>
      <c r="I39" s="4"/>
      <c r="J39" s="4"/>
      <c r="K39" s="38">
        <v>2.5</v>
      </c>
      <c r="L39" s="516">
        <v>3500</v>
      </c>
      <c r="M39" s="188">
        <v>2006</v>
      </c>
      <c r="N39" s="464"/>
      <c r="O39" s="476" t="s">
        <v>1037</v>
      </c>
      <c r="P39" s="2"/>
    </row>
    <row r="40" spans="1:16" s="113" customFormat="1" ht="32.25" hidden="1" customHeight="1" x14ac:dyDescent="0.4">
      <c r="A40" s="155">
        <v>125</v>
      </c>
      <c r="B40" s="33" t="s">
        <v>1934</v>
      </c>
      <c r="C40" s="4" t="s">
        <v>1935</v>
      </c>
      <c r="D40" s="5" t="s">
        <v>1936</v>
      </c>
      <c r="E40" s="36" t="s">
        <v>2074</v>
      </c>
      <c r="F40" s="34" t="s">
        <v>1950</v>
      </c>
      <c r="G40" s="108">
        <v>420000</v>
      </c>
      <c r="H40" s="4"/>
      <c r="I40" s="4"/>
      <c r="J40" s="4"/>
      <c r="K40" s="38">
        <v>2.5</v>
      </c>
      <c r="L40" s="516">
        <v>5000</v>
      </c>
      <c r="M40" s="188">
        <v>2008</v>
      </c>
      <c r="N40" s="464"/>
      <c r="O40" s="476" t="s">
        <v>1037</v>
      </c>
      <c r="P40" s="2"/>
    </row>
    <row r="41" spans="1:16" s="510" customFormat="1" ht="32.25" customHeight="1" x14ac:dyDescent="0.4">
      <c r="A41" s="500">
        <v>138</v>
      </c>
      <c r="B41" s="501" t="s">
        <v>111</v>
      </c>
      <c r="C41" s="502" t="s">
        <v>11</v>
      </c>
      <c r="D41" s="503" t="s">
        <v>343</v>
      </c>
      <c r="E41" s="527" t="s">
        <v>411</v>
      </c>
      <c r="F41" s="504" t="s">
        <v>412</v>
      </c>
      <c r="G41" s="505">
        <v>100000</v>
      </c>
      <c r="H41" s="502" t="s">
        <v>513</v>
      </c>
      <c r="I41" s="502"/>
      <c r="J41" s="502" t="s">
        <v>3144</v>
      </c>
      <c r="K41" s="506">
        <v>1.5</v>
      </c>
      <c r="L41" s="507">
        <v>4500</v>
      </c>
      <c r="M41" s="501">
        <v>36800</v>
      </c>
      <c r="N41" s="508"/>
      <c r="O41" s="509"/>
    </row>
    <row r="42" spans="1:16" ht="32.25" hidden="1" customHeight="1" x14ac:dyDescent="0.4">
      <c r="A42" s="5">
        <v>140</v>
      </c>
      <c r="B42" s="33" t="s">
        <v>879</v>
      </c>
      <c r="C42" s="4" t="s">
        <v>880</v>
      </c>
      <c r="D42" s="5" t="s">
        <v>880</v>
      </c>
      <c r="E42" s="36" t="s">
        <v>881</v>
      </c>
      <c r="F42" s="6" t="s">
        <v>882</v>
      </c>
      <c r="G42" s="108">
        <v>80000</v>
      </c>
      <c r="H42" s="7"/>
      <c r="I42" s="8"/>
      <c r="J42" s="9"/>
      <c r="K42" s="380"/>
      <c r="L42" s="381"/>
      <c r="M42" s="123" t="s">
        <v>883</v>
      </c>
      <c r="N42" s="464"/>
      <c r="O42" s="476"/>
    </row>
    <row r="43" spans="1:16" ht="32.25" hidden="1" customHeight="1" x14ac:dyDescent="0.4">
      <c r="A43" s="5">
        <v>141</v>
      </c>
      <c r="B43" s="33" t="s">
        <v>111</v>
      </c>
      <c r="C43" s="4" t="s">
        <v>16</v>
      </c>
      <c r="D43" s="5" t="s">
        <v>16</v>
      </c>
      <c r="E43" s="36" t="s">
        <v>416</v>
      </c>
      <c r="F43" s="6" t="s">
        <v>412</v>
      </c>
      <c r="G43" s="108">
        <v>120000</v>
      </c>
      <c r="H43" s="7"/>
      <c r="I43" s="8"/>
      <c r="J43" s="9"/>
      <c r="K43" s="380"/>
      <c r="L43" s="381"/>
      <c r="M43" s="123" t="s">
        <v>397</v>
      </c>
      <c r="N43" s="464"/>
      <c r="O43" s="476"/>
    </row>
    <row r="44" spans="1:16" ht="32.25" customHeight="1" x14ac:dyDescent="0.4">
      <c r="A44" s="5">
        <v>149</v>
      </c>
      <c r="B44" s="33" t="s">
        <v>489</v>
      </c>
      <c r="C44" s="4" t="s">
        <v>490</v>
      </c>
      <c r="D44" s="5" t="s">
        <v>235</v>
      </c>
      <c r="E44" s="36" t="s">
        <v>493</v>
      </c>
      <c r="F44" s="34" t="s">
        <v>492</v>
      </c>
      <c r="G44" s="108">
        <v>85000</v>
      </c>
      <c r="H44" s="4"/>
      <c r="I44" s="4"/>
      <c r="J44" s="4" t="s">
        <v>2293</v>
      </c>
      <c r="K44" s="38">
        <v>1.5</v>
      </c>
      <c r="L44" s="132">
        <v>3000</v>
      </c>
      <c r="M44" s="33"/>
      <c r="N44" s="464" t="s">
        <v>815</v>
      </c>
      <c r="O44" s="476"/>
    </row>
    <row r="45" spans="1:16" s="113" customFormat="1" ht="32.25" customHeight="1" x14ac:dyDescent="0.4">
      <c r="A45" s="155">
        <v>152</v>
      </c>
      <c r="B45" s="33" t="s">
        <v>1940</v>
      </c>
      <c r="C45" s="4" t="s">
        <v>1928</v>
      </c>
      <c r="D45" s="5" t="s">
        <v>1936</v>
      </c>
      <c r="E45" s="36" t="s">
        <v>1941</v>
      </c>
      <c r="F45" s="34" t="s">
        <v>1951</v>
      </c>
      <c r="G45" s="108">
        <v>85000</v>
      </c>
      <c r="H45" s="4"/>
      <c r="I45" s="4"/>
      <c r="J45" s="4"/>
      <c r="K45" s="38">
        <v>1.8</v>
      </c>
      <c r="L45" s="516">
        <v>4000</v>
      </c>
      <c r="M45" s="188" t="s">
        <v>1952</v>
      </c>
      <c r="N45" s="464" t="s">
        <v>1394</v>
      </c>
      <c r="O45" s="476"/>
      <c r="P45" s="2"/>
    </row>
    <row r="46" spans="1:16" s="113" customFormat="1" ht="32.25" customHeight="1" x14ac:dyDescent="0.4">
      <c r="A46" s="5">
        <v>164</v>
      </c>
      <c r="B46" s="33" t="s">
        <v>489</v>
      </c>
      <c r="C46" s="4" t="s">
        <v>11</v>
      </c>
      <c r="D46" s="5" t="s">
        <v>105</v>
      </c>
      <c r="E46" s="36" t="s">
        <v>571</v>
      </c>
      <c r="F46" s="34" t="s">
        <v>561</v>
      </c>
      <c r="G46" s="108">
        <v>132000</v>
      </c>
      <c r="H46" s="4"/>
      <c r="I46" s="4"/>
      <c r="J46" s="4"/>
      <c r="K46" s="38">
        <v>1.8</v>
      </c>
      <c r="L46" s="132">
        <v>3500</v>
      </c>
      <c r="M46" s="33" t="s">
        <v>563</v>
      </c>
      <c r="N46" s="464" t="s">
        <v>1322</v>
      </c>
      <c r="O46" s="476"/>
      <c r="P46" s="2"/>
    </row>
    <row r="47" spans="1:16" s="300" customFormat="1" ht="32.25" customHeight="1" x14ac:dyDescent="0.4">
      <c r="A47" s="155">
        <v>166</v>
      </c>
      <c r="B47" s="152" t="s">
        <v>489</v>
      </c>
      <c r="C47" s="172" t="s">
        <v>11</v>
      </c>
      <c r="D47" s="155" t="s">
        <v>105</v>
      </c>
      <c r="E47" s="180" t="s">
        <v>567</v>
      </c>
      <c r="F47" s="177" t="s">
        <v>565</v>
      </c>
      <c r="G47" s="153">
        <v>132000</v>
      </c>
      <c r="H47" s="172"/>
      <c r="I47" s="382"/>
      <c r="J47" s="179"/>
      <c r="K47" s="190">
        <v>1.5</v>
      </c>
      <c r="L47" s="132">
        <v>3000</v>
      </c>
      <c r="M47" s="152" t="s">
        <v>647</v>
      </c>
      <c r="N47" s="467" t="s">
        <v>1322</v>
      </c>
      <c r="O47" s="479"/>
      <c r="P47" s="157"/>
    </row>
    <row r="48" spans="1:16" s="113" customFormat="1" ht="32.25" hidden="1" customHeight="1" x14ac:dyDescent="0.4">
      <c r="A48" s="5">
        <v>171</v>
      </c>
      <c r="B48" s="33" t="s">
        <v>588</v>
      </c>
      <c r="C48" s="4" t="s">
        <v>591</v>
      </c>
      <c r="D48" s="5" t="s">
        <v>589</v>
      </c>
      <c r="E48" s="36" t="s">
        <v>590</v>
      </c>
      <c r="F48" s="34" t="s">
        <v>586</v>
      </c>
      <c r="G48" s="108">
        <v>100000</v>
      </c>
      <c r="H48" s="4"/>
      <c r="I48" s="4"/>
      <c r="J48" s="4"/>
      <c r="K48" s="38">
        <v>0.2</v>
      </c>
      <c r="L48" s="132">
        <v>4500</v>
      </c>
      <c r="M48" s="33">
        <v>1998</v>
      </c>
      <c r="N48" s="464"/>
      <c r="O48" s="476"/>
      <c r="P48" s="2"/>
    </row>
    <row r="49" spans="1:16" s="300" customFormat="1" ht="32.25" customHeight="1" x14ac:dyDescent="0.4">
      <c r="A49" s="155">
        <v>187</v>
      </c>
      <c r="B49" s="152" t="s">
        <v>489</v>
      </c>
      <c r="C49" s="172" t="s">
        <v>11</v>
      </c>
      <c r="D49" s="155" t="s">
        <v>105</v>
      </c>
      <c r="E49" s="180" t="s">
        <v>648</v>
      </c>
      <c r="F49" s="177" t="s">
        <v>649</v>
      </c>
      <c r="G49" s="153">
        <v>80000</v>
      </c>
      <c r="H49" s="172"/>
      <c r="I49" s="172"/>
      <c r="J49" s="172"/>
      <c r="K49" s="190">
        <v>1</v>
      </c>
      <c r="L49" s="132">
        <v>3000</v>
      </c>
      <c r="M49" s="152" t="s">
        <v>651</v>
      </c>
      <c r="N49" s="467" t="s">
        <v>1322</v>
      </c>
      <c r="O49" s="479"/>
      <c r="P49" s="157"/>
    </row>
    <row r="50" spans="1:16" s="113" customFormat="1" ht="32.25" customHeight="1" x14ac:dyDescent="0.4">
      <c r="A50" s="5">
        <v>192</v>
      </c>
      <c r="B50" s="33" t="s">
        <v>698</v>
      </c>
      <c r="C50" s="4" t="s">
        <v>699</v>
      </c>
      <c r="D50" s="5" t="s">
        <v>700</v>
      </c>
      <c r="E50" s="36"/>
      <c r="F50" s="34" t="s">
        <v>701</v>
      </c>
      <c r="G50" s="108">
        <v>30000</v>
      </c>
      <c r="H50" s="4"/>
      <c r="I50" s="4"/>
      <c r="J50" s="4"/>
      <c r="K50" s="38">
        <v>1</v>
      </c>
      <c r="L50" s="132">
        <v>4000</v>
      </c>
      <c r="M50" s="33"/>
      <c r="N50" s="464" t="s">
        <v>702</v>
      </c>
      <c r="O50" s="476"/>
      <c r="P50" s="2"/>
    </row>
    <row r="51" spans="1:16" s="300" customFormat="1" ht="32.25" hidden="1" customHeight="1" x14ac:dyDescent="0.4">
      <c r="A51" s="155">
        <v>205</v>
      </c>
      <c r="B51" s="152" t="s">
        <v>1373</v>
      </c>
      <c r="C51" s="172" t="s">
        <v>687</v>
      </c>
      <c r="D51" s="155" t="s">
        <v>773</v>
      </c>
      <c r="E51" s="180" t="s">
        <v>1298</v>
      </c>
      <c r="F51" s="177" t="s">
        <v>752</v>
      </c>
      <c r="G51" s="153">
        <v>200000</v>
      </c>
      <c r="H51" s="172"/>
      <c r="I51" s="172"/>
      <c r="J51" s="172"/>
      <c r="K51" s="190">
        <v>2.5</v>
      </c>
      <c r="L51" s="313">
        <v>3000</v>
      </c>
      <c r="M51" s="361"/>
      <c r="N51" s="467" t="s">
        <v>661</v>
      </c>
      <c r="O51" s="479"/>
      <c r="P51" s="157"/>
    </row>
    <row r="52" spans="1:16" s="300" customFormat="1" ht="32.25" hidden="1" customHeight="1" x14ac:dyDescent="0.4">
      <c r="A52" s="155">
        <v>206</v>
      </c>
      <c r="B52" s="152" t="s">
        <v>489</v>
      </c>
      <c r="C52" s="172" t="s">
        <v>9</v>
      </c>
      <c r="D52" s="155" t="s">
        <v>105</v>
      </c>
      <c r="E52" s="180" t="s">
        <v>774</v>
      </c>
      <c r="F52" s="177" t="s">
        <v>775</v>
      </c>
      <c r="G52" s="153">
        <v>280000</v>
      </c>
      <c r="H52" s="172"/>
      <c r="I52" s="172"/>
      <c r="J52" s="172"/>
      <c r="K52" s="190">
        <v>2.5</v>
      </c>
      <c r="L52" s="313">
        <v>4000</v>
      </c>
      <c r="M52" s="361" t="s">
        <v>1128</v>
      </c>
      <c r="N52" s="467" t="s">
        <v>815</v>
      </c>
      <c r="O52" s="479"/>
      <c r="P52" s="157"/>
    </row>
    <row r="53" spans="1:16" s="113" customFormat="1" ht="32.25" customHeight="1" x14ac:dyDescent="0.4">
      <c r="A53" s="155">
        <v>207</v>
      </c>
      <c r="B53" s="33" t="s">
        <v>1953</v>
      </c>
      <c r="C53" s="4" t="s">
        <v>1928</v>
      </c>
      <c r="D53" s="5" t="s">
        <v>1936</v>
      </c>
      <c r="E53" s="36" t="s">
        <v>1943</v>
      </c>
      <c r="F53" s="34" t="s">
        <v>1944</v>
      </c>
      <c r="G53" s="108">
        <v>85000</v>
      </c>
      <c r="H53" s="4"/>
      <c r="I53" s="4"/>
      <c r="J53" s="4"/>
      <c r="K53" s="38">
        <v>1.5</v>
      </c>
      <c r="L53" s="516">
        <v>3300</v>
      </c>
      <c r="M53" s="188"/>
      <c r="N53" s="464" t="s">
        <v>1945</v>
      </c>
      <c r="O53" s="476"/>
      <c r="P53" s="2"/>
    </row>
    <row r="54" spans="1:16" s="300" customFormat="1" ht="32.25" hidden="1" customHeight="1" x14ac:dyDescent="0.4">
      <c r="A54" s="155">
        <v>216</v>
      </c>
      <c r="B54" s="152" t="s">
        <v>1291</v>
      </c>
      <c r="C54" s="172" t="s">
        <v>1286</v>
      </c>
      <c r="D54" s="155" t="s">
        <v>1292</v>
      </c>
      <c r="E54" s="180" t="s">
        <v>1293</v>
      </c>
      <c r="F54" s="177" t="s">
        <v>798</v>
      </c>
      <c r="G54" s="153">
        <v>100000</v>
      </c>
      <c r="H54" s="172"/>
      <c r="I54" s="172"/>
      <c r="J54" s="172"/>
      <c r="K54" s="190">
        <v>2.5</v>
      </c>
      <c r="L54" s="313">
        <v>4500</v>
      </c>
      <c r="M54" s="428" t="s">
        <v>1294</v>
      </c>
      <c r="N54" s="467" t="s">
        <v>850</v>
      </c>
      <c r="O54" s="479"/>
      <c r="P54" s="157"/>
    </row>
    <row r="55" spans="1:16" s="113" customFormat="1" ht="32.25" hidden="1" customHeight="1" x14ac:dyDescent="0.4">
      <c r="A55" s="5">
        <v>218</v>
      </c>
      <c r="B55" s="33" t="s">
        <v>794</v>
      </c>
      <c r="C55" s="4" t="s">
        <v>795</v>
      </c>
      <c r="D55" s="5" t="s">
        <v>796</v>
      </c>
      <c r="E55" s="36" t="s">
        <v>950</v>
      </c>
      <c r="F55" s="34" t="s">
        <v>810</v>
      </c>
      <c r="G55" s="108">
        <v>100000</v>
      </c>
      <c r="H55" s="4"/>
      <c r="I55" s="4"/>
      <c r="J55" s="4"/>
      <c r="K55" s="38">
        <v>2.5</v>
      </c>
      <c r="L55" s="132">
        <v>3000</v>
      </c>
      <c r="M55" s="188"/>
      <c r="N55" s="467" t="s">
        <v>859</v>
      </c>
      <c r="O55" s="476"/>
      <c r="P55" s="2"/>
    </row>
    <row r="56" spans="1:16" s="122" customFormat="1" ht="32.25" hidden="1" customHeight="1" x14ac:dyDescent="0.4">
      <c r="A56" s="13">
        <v>223</v>
      </c>
      <c r="B56" s="14" t="s">
        <v>1839</v>
      </c>
      <c r="C56" s="15" t="s">
        <v>1835</v>
      </c>
      <c r="D56" s="13" t="s">
        <v>1836</v>
      </c>
      <c r="E56" s="119" t="s">
        <v>1840</v>
      </c>
      <c r="F56" s="116" t="s">
        <v>1841</v>
      </c>
      <c r="G56" s="109">
        <v>280000</v>
      </c>
      <c r="H56" s="120"/>
      <c r="I56" s="120"/>
      <c r="J56" s="15"/>
      <c r="K56" s="679">
        <v>2.5</v>
      </c>
      <c r="L56" s="680">
        <v>3000</v>
      </c>
      <c r="M56" s="576" t="s">
        <v>1842</v>
      </c>
      <c r="N56" s="464" t="s">
        <v>815</v>
      </c>
      <c r="O56" s="486"/>
    </row>
    <row r="57" spans="1:16" s="300" customFormat="1" ht="32.25" hidden="1" customHeight="1" x14ac:dyDescent="0.4">
      <c r="A57" s="155">
        <v>227</v>
      </c>
      <c r="B57" s="152" t="s">
        <v>659</v>
      </c>
      <c r="C57" s="172" t="s">
        <v>9</v>
      </c>
      <c r="D57" s="155" t="s">
        <v>741</v>
      </c>
      <c r="E57" s="180"/>
      <c r="F57" s="177" t="s">
        <v>858</v>
      </c>
      <c r="G57" s="153">
        <v>50000</v>
      </c>
      <c r="H57" s="172"/>
      <c r="I57" s="172"/>
      <c r="J57" s="172"/>
      <c r="K57" s="190">
        <v>3</v>
      </c>
      <c r="L57" s="132"/>
      <c r="M57" s="152"/>
      <c r="N57" s="467" t="s">
        <v>10</v>
      </c>
      <c r="O57" s="479"/>
      <c r="P57" s="157"/>
    </row>
    <row r="58" spans="1:16" s="157" customFormat="1" ht="32.25" hidden="1" customHeight="1" x14ac:dyDescent="0.4">
      <c r="A58" s="155">
        <v>239</v>
      </c>
      <c r="B58" s="152" t="s">
        <v>8</v>
      </c>
      <c r="C58" s="172" t="s">
        <v>9</v>
      </c>
      <c r="D58" s="155" t="s">
        <v>105</v>
      </c>
      <c r="E58" s="180" t="s">
        <v>913</v>
      </c>
      <c r="F58" s="177" t="s">
        <v>1269</v>
      </c>
      <c r="G58" s="153">
        <v>570000</v>
      </c>
      <c r="H58" s="191"/>
      <c r="I58" s="191"/>
      <c r="J58" s="172"/>
      <c r="K58" s="296">
        <v>4</v>
      </c>
      <c r="L58" s="189">
        <v>4000</v>
      </c>
      <c r="M58" s="385" t="s">
        <v>915</v>
      </c>
      <c r="N58" s="467" t="s">
        <v>854</v>
      </c>
      <c r="O58" s="479"/>
    </row>
    <row r="59" spans="1:16" s="157" customFormat="1" ht="32.25" hidden="1" customHeight="1" x14ac:dyDescent="0.4">
      <c r="A59" s="155">
        <v>241</v>
      </c>
      <c r="B59" s="152" t="s">
        <v>782</v>
      </c>
      <c r="C59" s="172" t="s">
        <v>633</v>
      </c>
      <c r="D59" s="155" t="s">
        <v>105</v>
      </c>
      <c r="E59" s="180" t="s">
        <v>2132</v>
      </c>
      <c r="F59" s="177" t="s">
        <v>1183</v>
      </c>
      <c r="G59" s="153">
        <v>580000</v>
      </c>
      <c r="H59" s="191"/>
      <c r="I59" s="191"/>
      <c r="J59" s="172"/>
      <c r="K59" s="296">
        <v>3.5</v>
      </c>
      <c r="L59" s="189">
        <v>4300</v>
      </c>
      <c r="M59" s="385" t="s">
        <v>1184</v>
      </c>
      <c r="N59" s="467" t="s">
        <v>815</v>
      </c>
      <c r="O59" s="479"/>
    </row>
    <row r="60" spans="1:16" s="117" customFormat="1" ht="32.25" hidden="1" customHeight="1" x14ac:dyDescent="0.4">
      <c r="A60" s="694">
        <v>246</v>
      </c>
      <c r="B60" s="120" t="s">
        <v>1493</v>
      </c>
      <c r="C60" s="120" t="s">
        <v>1494</v>
      </c>
      <c r="D60" s="120" t="s">
        <v>1495</v>
      </c>
      <c r="E60" s="133" t="s">
        <v>1496</v>
      </c>
      <c r="F60" s="120" t="s">
        <v>1497</v>
      </c>
      <c r="G60" s="537">
        <v>310000</v>
      </c>
      <c r="H60" s="120"/>
      <c r="I60" s="120"/>
      <c r="J60" s="120"/>
      <c r="K60" s="517">
        <v>2.5</v>
      </c>
      <c r="L60" s="120">
        <v>4000</v>
      </c>
      <c r="M60" s="13" t="s">
        <v>1498</v>
      </c>
      <c r="N60" s="525" t="s">
        <v>1499</v>
      </c>
      <c r="O60" s="442" t="s">
        <v>1500</v>
      </c>
    </row>
    <row r="61" spans="1:16" s="117" customFormat="1" ht="32.25" customHeight="1" x14ac:dyDescent="0.4">
      <c r="A61" s="744">
        <v>251</v>
      </c>
      <c r="B61" s="750" t="s">
        <v>3064</v>
      </c>
      <c r="C61" s="745" t="s">
        <v>200</v>
      </c>
      <c r="D61" s="745" t="s">
        <v>1605</v>
      </c>
      <c r="E61" s="746" t="s">
        <v>3110</v>
      </c>
      <c r="F61" s="747" t="s">
        <v>2058</v>
      </c>
      <c r="G61" s="748">
        <v>150000</v>
      </c>
      <c r="H61" s="120"/>
      <c r="I61" s="120"/>
      <c r="J61" s="120"/>
      <c r="K61" s="517">
        <v>1.3</v>
      </c>
      <c r="L61" s="749">
        <v>1960</v>
      </c>
      <c r="M61" s="13" t="s">
        <v>3062</v>
      </c>
      <c r="N61" s="525" t="s">
        <v>3063</v>
      </c>
      <c r="O61" s="442"/>
    </row>
    <row r="62" spans="1:16" ht="32.25" customHeight="1" x14ac:dyDescent="0.4">
      <c r="A62" s="155">
        <v>253</v>
      </c>
      <c r="B62" s="33" t="s">
        <v>998</v>
      </c>
      <c r="C62" s="4" t="s">
        <v>11</v>
      </c>
      <c r="D62" s="5" t="s">
        <v>105</v>
      </c>
      <c r="E62" s="36" t="s">
        <v>1020</v>
      </c>
      <c r="F62" s="34" t="s">
        <v>1010</v>
      </c>
      <c r="G62" s="108">
        <v>120000</v>
      </c>
      <c r="H62" s="28"/>
      <c r="I62" s="7"/>
      <c r="J62" s="4"/>
      <c r="K62" s="38">
        <v>1.3</v>
      </c>
      <c r="L62" s="82">
        <v>4300</v>
      </c>
      <c r="M62" s="123" t="s">
        <v>1021</v>
      </c>
      <c r="N62" s="464" t="s">
        <v>999</v>
      </c>
      <c r="O62" s="476"/>
      <c r="P62" s="2" t="s">
        <v>1066</v>
      </c>
    </row>
    <row r="63" spans="1:16" ht="32.25" customHeight="1" x14ac:dyDescent="0.4">
      <c r="A63" s="155">
        <v>255</v>
      </c>
      <c r="B63" s="33" t="s">
        <v>1019</v>
      </c>
      <c r="C63" s="172" t="s">
        <v>11</v>
      </c>
      <c r="D63" s="155" t="s">
        <v>472</v>
      </c>
      <c r="E63" s="36" t="s">
        <v>1022</v>
      </c>
      <c r="F63" s="34" t="s">
        <v>1023</v>
      </c>
      <c r="G63" s="108">
        <v>30000</v>
      </c>
      <c r="H63" s="7"/>
      <c r="I63" s="7"/>
      <c r="J63" s="4"/>
      <c r="K63" s="379">
        <v>1.5</v>
      </c>
      <c r="L63" s="82">
        <v>3000</v>
      </c>
      <c r="M63" s="123" t="s">
        <v>1024</v>
      </c>
      <c r="N63" s="464" t="s">
        <v>1025</v>
      </c>
      <c r="O63" s="476"/>
    </row>
    <row r="64" spans="1:16" s="157" customFormat="1" ht="32.25" hidden="1" customHeight="1" x14ac:dyDescent="0.4">
      <c r="A64" s="155">
        <v>260</v>
      </c>
      <c r="B64" s="152" t="s">
        <v>1143</v>
      </c>
      <c r="C64" s="172" t="s">
        <v>1137</v>
      </c>
      <c r="D64" s="155" t="s">
        <v>1309</v>
      </c>
      <c r="E64" s="180" t="s">
        <v>1173</v>
      </c>
      <c r="F64" s="177" t="s">
        <v>1139</v>
      </c>
      <c r="G64" s="153">
        <v>70000</v>
      </c>
      <c r="H64" s="191"/>
      <c r="I64" s="191"/>
      <c r="J64" s="172"/>
      <c r="K64" s="296">
        <v>5</v>
      </c>
      <c r="L64" s="189">
        <v>4000</v>
      </c>
      <c r="M64" s="176">
        <v>2007.08</v>
      </c>
      <c r="N64" s="467" t="s">
        <v>1141</v>
      </c>
      <c r="O64" s="479"/>
    </row>
    <row r="65" spans="1:16" s="300" customFormat="1" ht="32.25" hidden="1" customHeight="1" x14ac:dyDescent="0.4">
      <c r="A65" s="155">
        <v>262</v>
      </c>
      <c r="B65" s="33" t="s">
        <v>1148</v>
      </c>
      <c r="C65" s="4" t="s">
        <v>1152</v>
      </c>
      <c r="D65" s="5" t="s">
        <v>1310</v>
      </c>
      <c r="E65" s="36" t="s">
        <v>1311</v>
      </c>
      <c r="F65" s="34" t="s">
        <v>1150</v>
      </c>
      <c r="G65" s="108">
        <v>210000</v>
      </c>
      <c r="H65" s="7"/>
      <c r="I65" s="7"/>
      <c r="J65" s="4"/>
      <c r="K65" s="379">
        <v>3.5</v>
      </c>
      <c r="L65" s="82">
        <v>5000</v>
      </c>
      <c r="M65" s="394" t="s">
        <v>1154</v>
      </c>
      <c r="N65" s="464" t="s">
        <v>1163</v>
      </c>
      <c r="O65" s="476"/>
      <c r="P65" s="157"/>
    </row>
    <row r="66" spans="1:16" s="300" customFormat="1" ht="32.25" customHeight="1" x14ac:dyDescent="0.4">
      <c r="A66" s="155">
        <v>268</v>
      </c>
      <c r="B66" s="152" t="s">
        <v>3061</v>
      </c>
      <c r="C66" s="172" t="s">
        <v>1928</v>
      </c>
      <c r="D66" s="155" t="s">
        <v>1936</v>
      </c>
      <c r="E66" s="180" t="s">
        <v>1946</v>
      </c>
      <c r="F66" s="177" t="s">
        <v>1947</v>
      </c>
      <c r="G66" s="153">
        <v>50000</v>
      </c>
      <c r="H66" s="172"/>
      <c r="I66" s="172"/>
      <c r="J66" s="172"/>
      <c r="K66" s="190">
        <v>1.3</v>
      </c>
      <c r="L66" s="313">
        <v>3000</v>
      </c>
      <c r="M66" s="675" t="s">
        <v>1948</v>
      </c>
      <c r="N66" s="467" t="s">
        <v>1394</v>
      </c>
      <c r="O66" s="479" t="s">
        <v>1954</v>
      </c>
      <c r="P66" s="157"/>
    </row>
    <row r="67" spans="1:16" s="113" customFormat="1" ht="32.25" customHeight="1" x14ac:dyDescent="0.4">
      <c r="A67" s="5">
        <v>269</v>
      </c>
      <c r="B67" s="33" t="s">
        <v>1197</v>
      </c>
      <c r="C67" s="172" t="s">
        <v>490</v>
      </c>
      <c r="D67" s="5" t="s">
        <v>1192</v>
      </c>
      <c r="E67" s="36" t="s">
        <v>1193</v>
      </c>
      <c r="F67" s="34" t="s">
        <v>1204</v>
      </c>
      <c r="G67" s="108">
        <v>65000</v>
      </c>
      <c r="H67" s="7"/>
      <c r="I67" s="512"/>
      <c r="J67" s="4"/>
      <c r="K67" s="379">
        <v>1.5</v>
      </c>
      <c r="L67" s="82"/>
      <c r="M67" s="123" t="s">
        <v>1367</v>
      </c>
      <c r="N67" s="464" t="s">
        <v>861</v>
      </c>
      <c r="O67" s="476" t="s">
        <v>1223</v>
      </c>
      <c r="P67" s="2"/>
    </row>
    <row r="68" spans="1:16" s="402" customFormat="1" ht="32.25" hidden="1" customHeight="1" x14ac:dyDescent="0.4">
      <c r="A68" s="415">
        <v>271</v>
      </c>
      <c r="B68" s="395" t="s">
        <v>489</v>
      </c>
      <c r="C68" s="416" t="s">
        <v>240</v>
      </c>
      <c r="D68" s="415" t="s">
        <v>235</v>
      </c>
      <c r="E68" s="417" t="s">
        <v>1598</v>
      </c>
      <c r="F68" s="418" t="s">
        <v>1214</v>
      </c>
      <c r="G68" s="397">
        <v>80000</v>
      </c>
      <c r="H68" s="419"/>
      <c r="I68" s="420"/>
      <c r="J68" s="421"/>
      <c r="K68" s="422">
        <v>0.9</v>
      </c>
      <c r="L68" s="423">
        <v>3000</v>
      </c>
      <c r="M68" s="401">
        <v>2000</v>
      </c>
      <c r="N68" s="465" t="s">
        <v>871</v>
      </c>
      <c r="O68" s="477"/>
    </row>
    <row r="69" spans="1:16" s="300" customFormat="1" ht="32.25" hidden="1" customHeight="1" x14ac:dyDescent="0.4">
      <c r="A69" s="155">
        <v>272</v>
      </c>
      <c r="B69" s="152" t="s">
        <v>1199</v>
      </c>
      <c r="C69" s="172" t="s">
        <v>1200</v>
      </c>
      <c r="D69" s="155" t="s">
        <v>1201</v>
      </c>
      <c r="E69" s="180" t="s">
        <v>1202</v>
      </c>
      <c r="F69" s="177">
        <v>43343</v>
      </c>
      <c r="G69" s="153">
        <v>25000</v>
      </c>
      <c r="H69" s="191"/>
      <c r="I69" s="191"/>
      <c r="J69" s="172"/>
      <c r="K69" s="296">
        <v>0.7</v>
      </c>
      <c r="L69" s="189">
        <v>2500</v>
      </c>
      <c r="M69" s="176" t="s">
        <v>1422</v>
      </c>
      <c r="N69" s="467" t="s">
        <v>10</v>
      </c>
      <c r="O69" s="479"/>
      <c r="P69" s="157"/>
    </row>
    <row r="70" spans="1:16" s="691" customFormat="1" ht="32.25" customHeight="1" x14ac:dyDescent="0.4">
      <c r="A70" s="695">
        <v>275</v>
      </c>
      <c r="B70" s="695" t="s">
        <v>2686</v>
      </c>
      <c r="C70" s="695" t="s">
        <v>2677</v>
      </c>
      <c r="D70" s="695" t="s">
        <v>2678</v>
      </c>
      <c r="E70" s="701" t="s">
        <v>2687</v>
      </c>
      <c r="F70" s="695" t="s">
        <v>2688</v>
      </c>
      <c r="G70" s="687">
        <v>110000</v>
      </c>
      <c r="H70" s="695" t="s">
        <v>2689</v>
      </c>
      <c r="I70" s="702"/>
      <c r="J70" s="714" t="s">
        <v>3140</v>
      </c>
      <c r="K70" s="698">
        <v>1.5</v>
      </c>
      <c r="L70" s="695">
        <v>6300</v>
      </c>
      <c r="M70" s="703" t="s">
        <v>2690</v>
      </c>
      <c r="N70" s="704" t="s">
        <v>2691</v>
      </c>
      <c r="O70" s="690"/>
    </row>
    <row r="71" spans="1:16" s="300" customFormat="1" ht="32.25" hidden="1" customHeight="1" x14ac:dyDescent="0.4">
      <c r="A71" s="155">
        <v>278</v>
      </c>
      <c r="B71" s="152" t="s">
        <v>1197</v>
      </c>
      <c r="C71" s="172" t="s">
        <v>240</v>
      </c>
      <c r="D71" s="155" t="s">
        <v>105</v>
      </c>
      <c r="E71" s="180" t="s">
        <v>1250</v>
      </c>
      <c r="F71" s="177" t="s">
        <v>1248</v>
      </c>
      <c r="G71" s="153">
        <v>280000</v>
      </c>
      <c r="H71" s="191" t="s">
        <v>1566</v>
      </c>
      <c r="I71" s="191"/>
      <c r="J71" s="172"/>
      <c r="K71" s="296">
        <v>3</v>
      </c>
      <c r="L71" s="189">
        <v>5500</v>
      </c>
      <c r="M71" s="385" t="s">
        <v>1266</v>
      </c>
      <c r="N71" s="155" t="s">
        <v>815</v>
      </c>
      <c r="O71" s="479" t="s">
        <v>1584</v>
      </c>
      <c r="P71" s="157" t="s">
        <v>1344</v>
      </c>
    </row>
    <row r="72" spans="1:16" s="300" customFormat="1" ht="32.25" customHeight="1" x14ac:dyDescent="0.4">
      <c r="A72" s="155">
        <v>279</v>
      </c>
      <c r="B72" s="152" t="s">
        <v>828</v>
      </c>
      <c r="C72" s="172" t="s">
        <v>490</v>
      </c>
      <c r="D72" s="155" t="s">
        <v>105</v>
      </c>
      <c r="E72" s="180" t="s">
        <v>1264</v>
      </c>
      <c r="F72" s="177" t="s">
        <v>1249</v>
      </c>
      <c r="G72" s="153">
        <v>120000</v>
      </c>
      <c r="H72" s="191"/>
      <c r="I72" s="191"/>
      <c r="J72" s="172"/>
      <c r="K72" s="296">
        <v>1.5</v>
      </c>
      <c r="L72" s="189">
        <v>4000</v>
      </c>
      <c r="M72" s="385" t="s">
        <v>1265</v>
      </c>
      <c r="N72" s="155" t="s">
        <v>1274</v>
      </c>
      <c r="O72" s="479"/>
      <c r="P72" s="157"/>
    </row>
    <row r="73" spans="1:16" s="300" customFormat="1" ht="32.25" customHeight="1" x14ac:dyDescent="0.4">
      <c r="A73" s="155">
        <v>283</v>
      </c>
      <c r="B73" s="152" t="s">
        <v>1299</v>
      </c>
      <c r="C73" s="172" t="s">
        <v>1300</v>
      </c>
      <c r="D73" s="155" t="s">
        <v>1301</v>
      </c>
      <c r="E73" s="180" t="s">
        <v>2278</v>
      </c>
      <c r="F73" s="177" t="s">
        <v>1303</v>
      </c>
      <c r="G73" s="153">
        <v>120000</v>
      </c>
      <c r="H73" s="191"/>
      <c r="I73" s="191"/>
      <c r="J73" s="172"/>
      <c r="K73" s="296">
        <v>1</v>
      </c>
      <c r="L73" s="189">
        <v>5000</v>
      </c>
      <c r="M73" s="385" t="s">
        <v>1330</v>
      </c>
      <c r="N73" s="467" t="s">
        <v>1325</v>
      </c>
      <c r="O73" s="479"/>
      <c r="P73" s="157" t="s">
        <v>1685</v>
      </c>
    </row>
    <row r="74" spans="1:16" s="113" customFormat="1" ht="32.25" customHeight="1" x14ac:dyDescent="0.4">
      <c r="A74" s="5">
        <v>301</v>
      </c>
      <c r="B74" s="33" t="s">
        <v>1197</v>
      </c>
      <c r="C74" s="172" t="s">
        <v>11</v>
      </c>
      <c r="D74" s="5" t="s">
        <v>1418</v>
      </c>
      <c r="E74" s="36" t="s">
        <v>1421</v>
      </c>
      <c r="F74" s="34" t="s">
        <v>1419</v>
      </c>
      <c r="G74" s="108">
        <v>35000</v>
      </c>
      <c r="H74" s="7"/>
      <c r="I74" s="7"/>
      <c r="J74" s="4"/>
      <c r="K74" s="379">
        <v>1.3</v>
      </c>
      <c r="L74" s="82">
        <v>3000</v>
      </c>
      <c r="M74" s="123" t="s">
        <v>1420</v>
      </c>
      <c r="N74" s="464" t="s">
        <v>1322</v>
      </c>
      <c r="O74" s="476"/>
      <c r="P74" s="2"/>
    </row>
    <row r="75" spans="1:16" s="157" customFormat="1" ht="32.25" customHeight="1" x14ac:dyDescent="0.4">
      <c r="A75" s="155">
        <v>302</v>
      </c>
      <c r="B75" s="152" t="s">
        <v>1571</v>
      </c>
      <c r="C75" s="172" t="s">
        <v>1572</v>
      </c>
      <c r="D75" s="155" t="s">
        <v>1573</v>
      </c>
      <c r="E75" s="180" t="s">
        <v>1574</v>
      </c>
      <c r="F75" s="173" t="s">
        <v>1575</v>
      </c>
      <c r="G75" s="153">
        <v>60000</v>
      </c>
      <c r="H75" s="191"/>
      <c r="I75" s="156"/>
      <c r="J75" s="578"/>
      <c r="K75" s="530">
        <v>1.5</v>
      </c>
      <c r="L75" s="531">
        <v>3300</v>
      </c>
      <c r="M75" s="176" t="s">
        <v>1576</v>
      </c>
      <c r="N75" s="467" t="s">
        <v>1577</v>
      </c>
      <c r="O75" s="479"/>
    </row>
    <row r="76" spans="1:16" s="402" customFormat="1" ht="32.25" hidden="1" customHeight="1" x14ac:dyDescent="0.4">
      <c r="A76" s="415">
        <v>305</v>
      </c>
      <c r="B76" s="395" t="s">
        <v>1197</v>
      </c>
      <c r="C76" s="416" t="s">
        <v>14</v>
      </c>
      <c r="D76" s="415" t="s">
        <v>104</v>
      </c>
      <c r="E76" s="417" t="s">
        <v>1599</v>
      </c>
      <c r="F76" s="418" t="s">
        <v>1449</v>
      </c>
      <c r="G76" s="397">
        <v>280000</v>
      </c>
      <c r="H76" s="419"/>
      <c r="I76" s="420"/>
      <c r="J76" s="421"/>
      <c r="K76" s="422">
        <v>2.8</v>
      </c>
      <c r="L76" s="423">
        <v>4500</v>
      </c>
      <c r="M76" s="401" t="s">
        <v>1450</v>
      </c>
      <c r="N76" s="465" t="s">
        <v>815</v>
      </c>
      <c r="O76" s="477"/>
    </row>
    <row r="77" spans="1:16" s="402" customFormat="1" ht="32.25" hidden="1" customHeight="1" x14ac:dyDescent="0.4">
      <c r="A77" s="415">
        <v>306</v>
      </c>
      <c r="B77" s="395" t="s">
        <v>1197</v>
      </c>
      <c r="C77" s="416" t="s">
        <v>14</v>
      </c>
      <c r="D77" s="415" t="s">
        <v>1513</v>
      </c>
      <c r="E77" s="417" t="s">
        <v>1600</v>
      </c>
      <c r="F77" s="418" t="s">
        <v>1514</v>
      </c>
      <c r="G77" s="397">
        <v>180000</v>
      </c>
      <c r="H77" s="419"/>
      <c r="I77" s="420"/>
      <c r="J77" s="421"/>
      <c r="K77" s="422">
        <v>2.5</v>
      </c>
      <c r="L77" s="423">
        <v>4000</v>
      </c>
      <c r="M77" s="401" t="s">
        <v>1452</v>
      </c>
      <c r="N77" s="465" t="s">
        <v>965</v>
      </c>
      <c r="O77" s="477"/>
    </row>
    <row r="78" spans="1:16" s="402" customFormat="1" ht="32.25" hidden="1" customHeight="1" x14ac:dyDescent="0.4">
      <c r="A78" s="415">
        <v>310</v>
      </c>
      <c r="B78" s="395" t="s">
        <v>1197</v>
      </c>
      <c r="C78" s="416" t="s">
        <v>240</v>
      </c>
      <c r="D78" s="415" t="s">
        <v>105</v>
      </c>
      <c r="E78" s="417" t="s">
        <v>1617</v>
      </c>
      <c r="F78" s="418" t="s">
        <v>1501</v>
      </c>
      <c r="G78" s="397">
        <v>100000</v>
      </c>
      <c r="H78" s="419"/>
      <c r="I78" s="420"/>
      <c r="J78" s="421"/>
      <c r="K78" s="422">
        <v>1</v>
      </c>
      <c r="L78" s="423">
        <v>2500</v>
      </c>
      <c r="M78" s="401">
        <v>2010.05</v>
      </c>
      <c r="N78" s="465" t="s">
        <v>965</v>
      </c>
      <c r="O78" s="477"/>
    </row>
    <row r="79" spans="1:16" s="113" customFormat="1" ht="32.25" hidden="1" customHeight="1" x14ac:dyDescent="0.4">
      <c r="A79" s="155">
        <v>311</v>
      </c>
      <c r="B79" s="33" t="s">
        <v>1197</v>
      </c>
      <c r="C79" s="172" t="s">
        <v>423</v>
      </c>
      <c r="D79" s="5" t="s">
        <v>105</v>
      </c>
      <c r="E79" s="36" t="s">
        <v>1511</v>
      </c>
      <c r="F79" s="34" t="s">
        <v>1507</v>
      </c>
      <c r="G79" s="108">
        <v>30000</v>
      </c>
      <c r="H79" s="7"/>
      <c r="I79" s="7"/>
      <c r="J79" s="4"/>
      <c r="K79" s="379">
        <v>1</v>
      </c>
      <c r="L79" s="82">
        <v>3000</v>
      </c>
      <c r="M79" s="123"/>
      <c r="N79" s="464" t="s">
        <v>854</v>
      </c>
      <c r="O79" s="476"/>
      <c r="P79" s="2"/>
    </row>
    <row r="80" spans="1:16" s="113" customFormat="1" ht="32.25" customHeight="1" x14ac:dyDescent="0.4">
      <c r="A80" s="155">
        <v>312</v>
      </c>
      <c r="B80" s="33" t="s">
        <v>1750</v>
      </c>
      <c r="C80" s="172" t="s">
        <v>11</v>
      </c>
      <c r="D80" s="5" t="s">
        <v>1491</v>
      </c>
      <c r="E80" s="36" t="s">
        <v>1512</v>
      </c>
      <c r="F80" s="34" t="s">
        <v>1508</v>
      </c>
      <c r="G80" s="108">
        <v>70000</v>
      </c>
      <c r="H80" s="7"/>
      <c r="I80" s="7"/>
      <c r="J80" s="4"/>
      <c r="K80" s="379">
        <v>2.5</v>
      </c>
      <c r="L80" s="82">
        <v>3000</v>
      </c>
      <c r="M80" s="123">
        <v>2004.07</v>
      </c>
      <c r="N80" s="464" t="s">
        <v>965</v>
      </c>
      <c r="O80" s="476"/>
      <c r="P80" s="2"/>
    </row>
    <row r="81" spans="1:16" s="402" customFormat="1" ht="32.25" hidden="1" customHeight="1" x14ac:dyDescent="0.4">
      <c r="A81" s="415">
        <v>313</v>
      </c>
      <c r="B81" s="395" t="s">
        <v>1197</v>
      </c>
      <c r="C81" s="416" t="s">
        <v>240</v>
      </c>
      <c r="D81" s="415" t="s">
        <v>1536</v>
      </c>
      <c r="E81" s="417" t="s">
        <v>1525</v>
      </c>
      <c r="F81" s="418" t="s">
        <v>1526</v>
      </c>
      <c r="G81" s="397">
        <v>260000</v>
      </c>
      <c r="H81" s="419"/>
      <c r="I81" s="420"/>
      <c r="J81" s="421"/>
      <c r="K81" s="422">
        <v>2.5</v>
      </c>
      <c r="L81" s="423">
        <v>4350</v>
      </c>
      <c r="M81" s="401" t="s">
        <v>1527</v>
      </c>
      <c r="N81" s="465" t="s">
        <v>1562</v>
      </c>
      <c r="O81" s="477"/>
    </row>
    <row r="82" spans="1:16" s="691" customFormat="1" ht="32.25" hidden="1" customHeight="1" x14ac:dyDescent="0.4">
      <c r="A82" s="695">
        <v>314</v>
      </c>
      <c r="B82" s="695" t="s">
        <v>828</v>
      </c>
      <c r="C82" s="695" t="s">
        <v>423</v>
      </c>
      <c r="D82" s="695" t="s">
        <v>105</v>
      </c>
      <c r="E82" s="701" t="s">
        <v>1546</v>
      </c>
      <c r="F82" s="695" t="s">
        <v>1537</v>
      </c>
      <c r="G82" s="687">
        <v>180000</v>
      </c>
      <c r="H82" s="695" t="s">
        <v>129</v>
      </c>
      <c r="I82" s="702"/>
      <c r="J82" s="714" t="s">
        <v>3140</v>
      </c>
      <c r="K82" s="698">
        <v>1.5</v>
      </c>
      <c r="L82" s="695">
        <v>3000</v>
      </c>
      <c r="M82" s="695" t="s">
        <v>1531</v>
      </c>
      <c r="N82" s="704" t="s">
        <v>702</v>
      </c>
      <c r="O82" s="690"/>
    </row>
    <row r="83" spans="1:16" s="300" customFormat="1" ht="32.25" customHeight="1" x14ac:dyDescent="0.4">
      <c r="A83" s="155">
        <v>317</v>
      </c>
      <c r="B83" s="152" t="s">
        <v>1197</v>
      </c>
      <c r="C83" s="172" t="s">
        <v>1558</v>
      </c>
      <c r="D83" s="155" t="s">
        <v>105</v>
      </c>
      <c r="E83" s="180" t="s">
        <v>1559</v>
      </c>
      <c r="F83" s="177" t="s">
        <v>1560</v>
      </c>
      <c r="G83" s="153">
        <v>70000</v>
      </c>
      <c r="H83" s="191" t="s">
        <v>1566</v>
      </c>
      <c r="I83" s="191"/>
      <c r="J83" s="172"/>
      <c r="K83" s="296">
        <v>1.8</v>
      </c>
      <c r="L83" s="189">
        <v>4500</v>
      </c>
      <c r="M83" s="176" t="s">
        <v>1564</v>
      </c>
      <c r="N83" s="467" t="s">
        <v>1561</v>
      </c>
      <c r="O83" s="479"/>
      <c r="P83" s="157"/>
    </row>
    <row r="84" spans="1:16" s="300" customFormat="1" ht="32.25" customHeight="1" x14ac:dyDescent="0.4">
      <c r="A84" s="155">
        <v>322</v>
      </c>
      <c r="B84" s="33" t="s">
        <v>1197</v>
      </c>
      <c r="C84" s="172" t="s">
        <v>766</v>
      </c>
      <c r="D84" s="5" t="s">
        <v>1601</v>
      </c>
      <c r="E84" s="36">
        <v>6009108</v>
      </c>
      <c r="F84" s="34" t="s">
        <v>1602</v>
      </c>
      <c r="G84" s="108">
        <v>150000</v>
      </c>
      <c r="H84" s="191"/>
      <c r="I84" s="191"/>
      <c r="J84" s="172"/>
      <c r="K84" s="379">
        <v>2</v>
      </c>
      <c r="L84" s="82">
        <v>2250</v>
      </c>
      <c r="M84" s="394" t="s">
        <v>1603</v>
      </c>
      <c r="N84" s="5" t="s">
        <v>666</v>
      </c>
      <c r="O84" s="479"/>
      <c r="P84" s="157"/>
    </row>
    <row r="85" spans="1:16" s="113" customFormat="1" ht="32.25" customHeight="1" x14ac:dyDescent="0.4">
      <c r="A85" s="5">
        <v>324</v>
      </c>
      <c r="B85" s="33" t="s">
        <v>1197</v>
      </c>
      <c r="C85" s="172" t="s">
        <v>766</v>
      </c>
      <c r="D85" s="5" t="s">
        <v>1601</v>
      </c>
      <c r="E85" s="36">
        <v>6020928</v>
      </c>
      <c r="F85" s="34" t="s">
        <v>1602</v>
      </c>
      <c r="G85" s="108">
        <v>150000</v>
      </c>
      <c r="H85" s="7"/>
      <c r="I85" s="7"/>
      <c r="J85" s="4"/>
      <c r="K85" s="379">
        <v>2</v>
      </c>
      <c r="L85" s="82">
        <v>2250</v>
      </c>
      <c r="M85" s="394" t="s">
        <v>1604</v>
      </c>
      <c r="N85" s="464" t="s">
        <v>1618</v>
      </c>
      <c r="O85" s="476"/>
      <c r="P85" s="2"/>
    </row>
    <row r="86" spans="1:16" s="113" customFormat="1" ht="32.25" customHeight="1" x14ac:dyDescent="0.4">
      <c r="A86" s="5">
        <v>325</v>
      </c>
      <c r="B86" s="33" t="s">
        <v>1197</v>
      </c>
      <c r="C86" s="172" t="s">
        <v>766</v>
      </c>
      <c r="D86" s="5" t="s">
        <v>1619</v>
      </c>
      <c r="E86" s="36" t="s">
        <v>1620</v>
      </c>
      <c r="F86" s="34" t="s">
        <v>1621</v>
      </c>
      <c r="G86" s="108">
        <v>130000</v>
      </c>
      <c r="H86" s="7"/>
      <c r="I86" s="7"/>
      <c r="J86" s="4"/>
      <c r="K86" s="379">
        <v>1.5</v>
      </c>
      <c r="L86" s="82">
        <v>5000</v>
      </c>
      <c r="M86" s="123" t="s">
        <v>1623</v>
      </c>
      <c r="N86" s="464" t="s">
        <v>1622</v>
      </c>
      <c r="O86" s="476"/>
      <c r="P86" s="2"/>
    </row>
    <row r="87" spans="1:16" s="113" customFormat="1" ht="32.25" customHeight="1" x14ac:dyDescent="0.4">
      <c r="A87" s="5">
        <v>328</v>
      </c>
      <c r="B87" s="33" t="s">
        <v>1197</v>
      </c>
      <c r="C87" s="172" t="s">
        <v>11</v>
      </c>
      <c r="D87" s="5" t="s">
        <v>1619</v>
      </c>
      <c r="E87" s="36" t="s">
        <v>1686</v>
      </c>
      <c r="F87" s="34" t="s">
        <v>1687</v>
      </c>
      <c r="G87" s="108">
        <v>40000</v>
      </c>
      <c r="H87" s="7"/>
      <c r="I87" s="7"/>
      <c r="J87" s="4"/>
      <c r="K87" s="379">
        <v>0.9</v>
      </c>
      <c r="L87" s="82">
        <v>3500</v>
      </c>
      <c r="M87" s="123" t="s">
        <v>1688</v>
      </c>
      <c r="N87" s="464" t="s">
        <v>1622</v>
      </c>
      <c r="O87" s="476"/>
      <c r="P87" s="2"/>
    </row>
    <row r="88" spans="1:16" s="113" customFormat="1" ht="32.25" customHeight="1" x14ac:dyDescent="0.4">
      <c r="A88" s="5">
        <v>332</v>
      </c>
      <c r="B88" s="33" t="s">
        <v>1197</v>
      </c>
      <c r="C88" s="172" t="s">
        <v>11</v>
      </c>
      <c r="D88" s="5" t="s">
        <v>1691</v>
      </c>
      <c r="E88" s="36" t="s">
        <v>1694</v>
      </c>
      <c r="F88" s="34" t="s">
        <v>1693</v>
      </c>
      <c r="G88" s="108">
        <v>90000</v>
      </c>
      <c r="H88" s="7"/>
      <c r="I88" s="7"/>
      <c r="J88" s="4"/>
      <c r="K88" s="379">
        <v>1.5</v>
      </c>
      <c r="L88" s="82"/>
      <c r="M88" s="123">
        <v>2009</v>
      </c>
      <c r="N88" s="464" t="s">
        <v>1622</v>
      </c>
      <c r="O88" s="476"/>
      <c r="P88" s="2"/>
    </row>
    <row r="89" spans="1:16" s="113" customFormat="1" ht="32.25" customHeight="1" x14ac:dyDescent="0.4">
      <c r="A89" s="5">
        <v>333</v>
      </c>
      <c r="B89" s="33" t="s">
        <v>1197</v>
      </c>
      <c r="C89" s="172" t="s">
        <v>11</v>
      </c>
      <c r="D89" s="5" t="s">
        <v>1700</v>
      </c>
      <c r="E89" s="36" t="s">
        <v>1698</v>
      </c>
      <c r="F89" s="34" t="s">
        <v>1699</v>
      </c>
      <c r="G89" s="108">
        <v>80000</v>
      </c>
      <c r="H89" s="7"/>
      <c r="I89" s="7"/>
      <c r="J89" s="4"/>
      <c r="K89" s="379">
        <v>2</v>
      </c>
      <c r="L89" s="82">
        <v>6030</v>
      </c>
      <c r="M89" s="123" t="s">
        <v>1707</v>
      </c>
      <c r="N89" s="464" t="s">
        <v>1622</v>
      </c>
      <c r="O89" s="476"/>
      <c r="P89" s="2"/>
    </row>
    <row r="90" spans="1:16" s="113" customFormat="1" ht="32.25" hidden="1" customHeight="1" x14ac:dyDescent="0.4">
      <c r="A90" s="5">
        <v>336</v>
      </c>
      <c r="B90" s="33" t="s">
        <v>1197</v>
      </c>
      <c r="C90" s="172" t="s">
        <v>1547</v>
      </c>
      <c r="D90" s="5" t="s">
        <v>1723</v>
      </c>
      <c r="E90" s="36" t="s">
        <v>1706</v>
      </c>
      <c r="F90" s="34" t="s">
        <v>1702</v>
      </c>
      <c r="G90" s="108">
        <v>100000</v>
      </c>
      <c r="H90" s="7"/>
      <c r="I90" s="7"/>
      <c r="J90" s="4"/>
      <c r="K90" s="379">
        <v>3</v>
      </c>
      <c r="L90" s="82">
        <v>4335</v>
      </c>
      <c r="M90" s="123" t="s">
        <v>1711</v>
      </c>
      <c r="N90" s="464" t="s">
        <v>1622</v>
      </c>
      <c r="O90" s="476"/>
      <c r="P90" s="2"/>
    </row>
    <row r="91" spans="1:16" s="113" customFormat="1" ht="32.25" customHeight="1" x14ac:dyDescent="0.4">
      <c r="A91" s="5">
        <v>340</v>
      </c>
      <c r="B91" s="33" t="s">
        <v>1197</v>
      </c>
      <c r="C91" s="172" t="s">
        <v>11</v>
      </c>
      <c r="D91" s="155" t="s">
        <v>105</v>
      </c>
      <c r="E91" s="180" t="s">
        <v>1720</v>
      </c>
      <c r="F91" s="177" t="s">
        <v>2075</v>
      </c>
      <c r="G91" s="153">
        <v>60000</v>
      </c>
      <c r="H91" s="4"/>
      <c r="I91" s="4"/>
      <c r="J91" s="4"/>
      <c r="K91" s="38">
        <v>1.3</v>
      </c>
      <c r="L91" s="82">
        <v>4000</v>
      </c>
      <c r="M91" s="33" t="s">
        <v>1744</v>
      </c>
      <c r="N91" s="464" t="s">
        <v>1322</v>
      </c>
      <c r="O91" s="476"/>
      <c r="P91" s="2"/>
    </row>
    <row r="92" spans="1:16" s="113" customFormat="1" ht="32.25" customHeight="1" x14ac:dyDescent="0.4">
      <c r="A92" s="5">
        <v>341</v>
      </c>
      <c r="B92" s="33" t="s">
        <v>1721</v>
      </c>
      <c r="C92" s="4" t="s">
        <v>1722</v>
      </c>
      <c r="D92" s="5" t="s">
        <v>1724</v>
      </c>
      <c r="E92" s="36" t="s">
        <v>1725</v>
      </c>
      <c r="F92" s="34" t="s">
        <v>1726</v>
      </c>
      <c r="G92" s="108">
        <v>45000</v>
      </c>
      <c r="H92" s="4"/>
      <c r="I92" s="4"/>
      <c r="J92" s="4"/>
      <c r="K92" s="38">
        <v>1.1000000000000001</v>
      </c>
      <c r="L92" s="516">
        <v>4000</v>
      </c>
      <c r="M92" s="33" t="s">
        <v>1730</v>
      </c>
      <c r="N92" s="5" t="s">
        <v>1727</v>
      </c>
      <c r="O92" s="476"/>
      <c r="P92" s="2"/>
    </row>
    <row r="93" spans="1:16" s="113" customFormat="1" ht="32.25" customHeight="1" x14ac:dyDescent="0.4">
      <c r="A93" s="5">
        <v>349</v>
      </c>
      <c r="B93" s="33" t="s">
        <v>1197</v>
      </c>
      <c r="C93" s="4" t="s">
        <v>11</v>
      </c>
      <c r="D93" s="5" t="s">
        <v>1776</v>
      </c>
      <c r="E93" s="36" t="s">
        <v>1777</v>
      </c>
      <c r="F93" s="34" t="s">
        <v>1778</v>
      </c>
      <c r="G93" s="108">
        <v>30000</v>
      </c>
      <c r="H93" s="4"/>
      <c r="I93" s="4"/>
      <c r="J93" s="4"/>
      <c r="K93" s="38">
        <v>1</v>
      </c>
      <c r="L93" s="516">
        <v>4000</v>
      </c>
      <c r="M93" s="33">
        <v>2008.02</v>
      </c>
      <c r="N93" s="5" t="s">
        <v>854</v>
      </c>
      <c r="O93" s="476"/>
      <c r="P93" s="2"/>
    </row>
    <row r="94" spans="1:16" s="113" customFormat="1" ht="32.25" customHeight="1" x14ac:dyDescent="0.4">
      <c r="A94" s="5">
        <v>353</v>
      </c>
      <c r="B94" s="33" t="s">
        <v>1799</v>
      </c>
      <c r="C94" s="4" t="s">
        <v>11</v>
      </c>
      <c r="D94" s="5" t="s">
        <v>105</v>
      </c>
      <c r="E94" s="36" t="s">
        <v>1795</v>
      </c>
      <c r="F94" s="34" t="s">
        <v>1796</v>
      </c>
      <c r="G94" s="108" t="s">
        <v>1797</v>
      </c>
      <c r="H94" s="4"/>
      <c r="I94" s="4"/>
      <c r="J94" s="4"/>
      <c r="K94" s="38">
        <v>1.5</v>
      </c>
      <c r="L94" s="516">
        <v>3700</v>
      </c>
      <c r="M94" s="33" t="s">
        <v>1798</v>
      </c>
      <c r="N94" s="5" t="s">
        <v>1800</v>
      </c>
      <c r="O94" s="476"/>
      <c r="P94" s="2"/>
    </row>
    <row r="95" spans="1:16" s="113" customFormat="1" ht="32.25" customHeight="1" x14ac:dyDescent="0.4">
      <c r="A95" s="5">
        <v>354</v>
      </c>
      <c r="B95" s="33" t="s">
        <v>1197</v>
      </c>
      <c r="C95" s="4" t="s">
        <v>11</v>
      </c>
      <c r="D95" s="5" t="s">
        <v>1812</v>
      </c>
      <c r="E95" s="36" t="s">
        <v>1813</v>
      </c>
      <c r="F95" s="34" t="s">
        <v>1807</v>
      </c>
      <c r="G95" s="108">
        <v>50000</v>
      </c>
      <c r="H95" s="4"/>
      <c r="I95" s="4"/>
      <c r="J95" s="4"/>
      <c r="K95" s="38">
        <v>1.3</v>
      </c>
      <c r="L95" s="516">
        <v>4500</v>
      </c>
      <c r="M95" s="33" t="s">
        <v>1814</v>
      </c>
      <c r="N95" s="5" t="s">
        <v>815</v>
      </c>
      <c r="O95" s="476"/>
      <c r="P95" s="2"/>
    </row>
    <row r="96" spans="1:16" s="113" customFormat="1" ht="32.25" customHeight="1" x14ac:dyDescent="0.4">
      <c r="A96" s="5">
        <v>355</v>
      </c>
      <c r="B96" s="33" t="s">
        <v>1197</v>
      </c>
      <c r="C96" s="4" t="s">
        <v>11</v>
      </c>
      <c r="D96" s="5" t="s">
        <v>1815</v>
      </c>
      <c r="E96" s="36" t="s">
        <v>1816</v>
      </c>
      <c r="F96" s="34" t="s">
        <v>1807</v>
      </c>
      <c r="G96" s="108">
        <v>50000</v>
      </c>
      <c r="H96" s="4"/>
      <c r="I96" s="4"/>
      <c r="J96" s="4"/>
      <c r="K96" s="38">
        <v>1.5</v>
      </c>
      <c r="L96" s="516"/>
      <c r="M96" s="33" t="s">
        <v>1817</v>
      </c>
      <c r="N96" s="5" t="s">
        <v>815</v>
      </c>
      <c r="O96" s="476"/>
      <c r="P96" s="2"/>
    </row>
    <row r="97" spans="1:16" s="113" customFormat="1" ht="32.25" hidden="1" customHeight="1" x14ac:dyDescent="0.4">
      <c r="A97" s="5">
        <v>356</v>
      </c>
      <c r="B97" s="33" t="s">
        <v>1197</v>
      </c>
      <c r="C97" s="4" t="s">
        <v>1821</v>
      </c>
      <c r="D97" s="5" t="s">
        <v>1818</v>
      </c>
      <c r="E97" s="36" t="s">
        <v>1819</v>
      </c>
      <c r="F97" s="34" t="s">
        <v>1807</v>
      </c>
      <c r="G97" s="108">
        <v>35000</v>
      </c>
      <c r="H97" s="4"/>
      <c r="I97" s="4"/>
      <c r="J97" s="4"/>
      <c r="K97" s="38">
        <v>0.5</v>
      </c>
      <c r="L97" s="516">
        <v>2500</v>
      </c>
      <c r="M97" s="33" t="s">
        <v>1820</v>
      </c>
      <c r="N97" s="5" t="s">
        <v>815</v>
      </c>
      <c r="O97" s="476"/>
      <c r="P97" s="2"/>
    </row>
    <row r="98" spans="1:16" s="300" customFormat="1" ht="32.25" customHeight="1" x14ac:dyDescent="0.4">
      <c r="A98" s="155">
        <v>357</v>
      </c>
      <c r="B98" s="152" t="s">
        <v>2959</v>
      </c>
      <c r="C98" s="172" t="s">
        <v>490</v>
      </c>
      <c r="D98" s="155" t="s">
        <v>235</v>
      </c>
      <c r="E98" s="180" t="s">
        <v>1822</v>
      </c>
      <c r="F98" s="177" t="s">
        <v>1807</v>
      </c>
      <c r="G98" s="153">
        <v>35000</v>
      </c>
      <c r="H98" s="172"/>
      <c r="I98" s="172"/>
      <c r="K98" s="190">
        <v>0.9</v>
      </c>
      <c r="L98" s="313">
        <v>3500</v>
      </c>
      <c r="M98" s="152">
        <v>2008</v>
      </c>
      <c r="N98" s="155" t="s">
        <v>1322</v>
      </c>
      <c r="O98" s="479"/>
      <c r="P98" s="157"/>
    </row>
    <row r="99" spans="1:16" s="113" customFormat="1" ht="32.25" customHeight="1" x14ac:dyDescent="0.4">
      <c r="A99" s="5">
        <v>358</v>
      </c>
      <c r="B99" s="33" t="s">
        <v>1197</v>
      </c>
      <c r="C99" s="4" t="s">
        <v>11</v>
      </c>
      <c r="D99" s="5" t="s">
        <v>1823</v>
      </c>
      <c r="E99" s="36" t="s">
        <v>1824</v>
      </c>
      <c r="F99" s="34" t="s">
        <v>1807</v>
      </c>
      <c r="G99" s="108">
        <v>35000</v>
      </c>
      <c r="H99" s="4"/>
      <c r="I99" s="4"/>
      <c r="J99" s="4"/>
      <c r="K99" s="38">
        <v>0.9</v>
      </c>
      <c r="L99" s="516">
        <v>3030</v>
      </c>
      <c r="M99" s="33" t="s">
        <v>1825</v>
      </c>
      <c r="N99" s="5" t="s">
        <v>815</v>
      </c>
      <c r="O99" s="476"/>
      <c r="P99" s="2"/>
    </row>
    <row r="100" spans="1:16" s="692" customFormat="1" ht="32.25" customHeight="1" x14ac:dyDescent="0.4">
      <c r="A100" s="695">
        <v>360</v>
      </c>
      <c r="B100" s="695" t="s">
        <v>2676</v>
      </c>
      <c r="C100" s="695" t="s">
        <v>2677</v>
      </c>
      <c r="D100" s="695" t="s">
        <v>2678</v>
      </c>
      <c r="E100" s="696" t="s">
        <v>2679</v>
      </c>
      <c r="F100" s="695" t="s">
        <v>2680</v>
      </c>
      <c r="G100" s="687" t="s">
        <v>2681</v>
      </c>
      <c r="H100" s="695"/>
      <c r="I100" s="684"/>
      <c r="J100" s="697"/>
      <c r="K100" s="698">
        <v>1.5</v>
      </c>
      <c r="L100" s="699">
        <v>3000</v>
      </c>
      <c r="M100" s="695" t="s">
        <v>2682</v>
      </c>
      <c r="N100" s="682"/>
      <c r="O100" s="690"/>
      <c r="P100" s="691"/>
    </row>
    <row r="101" spans="1:16" s="113" customFormat="1" ht="32.25" hidden="1" customHeight="1" x14ac:dyDescent="0.4">
      <c r="A101" s="5">
        <v>369</v>
      </c>
      <c r="B101" s="33" t="s">
        <v>1197</v>
      </c>
      <c r="C101" s="4" t="s">
        <v>1872</v>
      </c>
      <c r="D101" s="5" t="s">
        <v>108</v>
      </c>
      <c r="E101" s="36" t="s">
        <v>1873</v>
      </c>
      <c r="F101" s="34" t="s">
        <v>1874</v>
      </c>
      <c r="G101" s="108">
        <v>50000</v>
      </c>
      <c r="H101" s="4"/>
      <c r="I101" s="4"/>
      <c r="J101" s="4"/>
      <c r="K101" s="38">
        <v>1.5</v>
      </c>
      <c r="L101" s="516">
        <v>3000</v>
      </c>
      <c r="M101" s="33" t="s">
        <v>1875</v>
      </c>
      <c r="N101" s="5" t="s">
        <v>2211</v>
      </c>
      <c r="O101" s="476"/>
      <c r="P101" s="2"/>
    </row>
    <row r="102" spans="1:16" s="614" customFormat="1" ht="32.25" hidden="1" customHeight="1" x14ac:dyDescent="0.4">
      <c r="A102" s="603">
        <v>371</v>
      </c>
      <c r="B102" s="604" t="s">
        <v>1571</v>
      </c>
      <c r="C102" s="605" t="s">
        <v>991</v>
      </c>
      <c r="D102" s="606" t="s">
        <v>796</v>
      </c>
      <c r="E102" s="607" t="s">
        <v>2327</v>
      </c>
      <c r="F102" s="608" t="s">
        <v>1882</v>
      </c>
      <c r="G102" s="609">
        <v>60000</v>
      </c>
      <c r="H102" s="605" t="s">
        <v>2328</v>
      </c>
      <c r="I102" s="605"/>
      <c r="J102" s="605"/>
      <c r="K102" s="610">
        <v>2.5</v>
      </c>
      <c r="L102" s="611">
        <v>4000</v>
      </c>
      <c r="M102" s="604" t="s">
        <v>1883</v>
      </c>
      <c r="N102" s="603" t="s">
        <v>815</v>
      </c>
      <c r="O102" s="612"/>
      <c r="P102" s="613"/>
    </row>
    <row r="103" spans="1:16" s="614" customFormat="1" ht="32.25" hidden="1" customHeight="1" x14ac:dyDescent="0.4">
      <c r="A103" s="603">
        <v>372</v>
      </c>
      <c r="B103" s="604" t="s">
        <v>1571</v>
      </c>
      <c r="C103" s="605" t="s">
        <v>991</v>
      </c>
      <c r="D103" s="606" t="s">
        <v>796</v>
      </c>
      <c r="E103" s="607" t="s">
        <v>1885</v>
      </c>
      <c r="F103" s="608" t="s">
        <v>1882</v>
      </c>
      <c r="G103" s="609">
        <v>60000</v>
      </c>
      <c r="H103" s="605" t="s">
        <v>2328</v>
      </c>
      <c r="I103" s="605"/>
      <c r="J103" s="605"/>
      <c r="K103" s="610">
        <v>2.5</v>
      </c>
      <c r="L103" s="611">
        <v>3000</v>
      </c>
      <c r="M103" s="604">
        <v>2013.03</v>
      </c>
      <c r="N103" s="603" t="s">
        <v>815</v>
      </c>
      <c r="O103" s="612"/>
      <c r="P103" s="613"/>
    </row>
    <row r="104" spans="1:16" s="614" customFormat="1" ht="32.25" hidden="1" customHeight="1" x14ac:dyDescent="0.4">
      <c r="A104" s="603">
        <v>373</v>
      </c>
      <c r="B104" s="604" t="s">
        <v>1571</v>
      </c>
      <c r="C104" s="605" t="s">
        <v>991</v>
      </c>
      <c r="D104" s="606" t="s">
        <v>796</v>
      </c>
      <c r="E104" s="607" t="s">
        <v>1884</v>
      </c>
      <c r="F104" s="608" t="s">
        <v>1882</v>
      </c>
      <c r="G104" s="609">
        <v>60000</v>
      </c>
      <c r="H104" s="605" t="s">
        <v>2328</v>
      </c>
      <c r="I104" s="605"/>
      <c r="J104" s="605"/>
      <c r="K104" s="610">
        <v>2.5</v>
      </c>
      <c r="L104" s="611">
        <v>3000</v>
      </c>
      <c r="M104" s="604">
        <v>2016.07</v>
      </c>
      <c r="N104" s="603" t="s">
        <v>815</v>
      </c>
      <c r="O104" s="612"/>
      <c r="P104" s="613"/>
    </row>
    <row r="105" spans="1:16" s="300" customFormat="1" ht="32.25" customHeight="1" x14ac:dyDescent="0.4">
      <c r="A105" s="155">
        <v>376</v>
      </c>
      <c r="B105" s="152" t="s">
        <v>1197</v>
      </c>
      <c r="C105" s="172" t="s">
        <v>11</v>
      </c>
      <c r="D105" s="155" t="s">
        <v>105</v>
      </c>
      <c r="E105" s="180" t="s">
        <v>1889</v>
      </c>
      <c r="F105" s="177" t="s">
        <v>1890</v>
      </c>
      <c r="G105" s="153">
        <v>50000</v>
      </c>
      <c r="H105" s="172" t="s">
        <v>1895</v>
      </c>
      <c r="I105" s="172"/>
      <c r="J105" s="172"/>
      <c r="K105" s="190">
        <v>1.3</v>
      </c>
      <c r="L105" s="313">
        <v>3000</v>
      </c>
      <c r="M105" s="152" t="s">
        <v>1913</v>
      </c>
      <c r="N105" s="155" t="s">
        <v>2211</v>
      </c>
      <c r="O105" s="479"/>
      <c r="P105" s="157"/>
    </row>
    <row r="106" spans="1:16" s="300" customFormat="1" ht="32.25" customHeight="1" x14ac:dyDescent="0.4">
      <c r="A106" s="155">
        <v>377</v>
      </c>
      <c r="B106" s="152" t="s">
        <v>1197</v>
      </c>
      <c r="C106" s="172" t="s">
        <v>11</v>
      </c>
      <c r="D106" s="155" t="s">
        <v>105</v>
      </c>
      <c r="E106" s="180" t="s">
        <v>1911</v>
      </c>
      <c r="F106" s="177" t="s">
        <v>1909</v>
      </c>
      <c r="G106" s="153">
        <v>50000</v>
      </c>
      <c r="H106" s="172"/>
      <c r="I106" s="172"/>
      <c r="J106" s="172"/>
      <c r="K106" s="190">
        <v>1.5</v>
      </c>
      <c r="L106" s="313">
        <v>3000</v>
      </c>
      <c r="M106" s="152" t="s">
        <v>2212</v>
      </c>
      <c r="N106" s="155" t="s">
        <v>2211</v>
      </c>
      <c r="O106" s="479"/>
      <c r="P106" s="157"/>
    </row>
    <row r="107" spans="1:16" s="113" customFormat="1" ht="32.25" hidden="1" customHeight="1" x14ac:dyDescent="0.4">
      <c r="A107" s="5">
        <v>383</v>
      </c>
      <c r="B107" s="33" t="s">
        <v>1197</v>
      </c>
      <c r="C107" s="4" t="s">
        <v>1920</v>
      </c>
      <c r="D107" s="5" t="s">
        <v>1919</v>
      </c>
      <c r="E107" s="180" t="s">
        <v>2216</v>
      </c>
      <c r="F107" s="34" t="s">
        <v>1918</v>
      </c>
      <c r="G107" s="108">
        <v>190000</v>
      </c>
      <c r="H107" s="4"/>
      <c r="I107" s="4"/>
      <c r="J107" s="4"/>
      <c r="K107" s="38">
        <v>1.5</v>
      </c>
      <c r="L107" s="516"/>
      <c r="M107" s="33">
        <v>2000</v>
      </c>
      <c r="N107" s="155" t="s">
        <v>2222</v>
      </c>
      <c r="O107" s="476"/>
      <c r="P107" s="2"/>
    </row>
    <row r="108" spans="1:16" s="113" customFormat="1" ht="32.25" hidden="1" customHeight="1" x14ac:dyDescent="0.4">
      <c r="A108" s="5">
        <v>390</v>
      </c>
      <c r="B108" s="33" t="s">
        <v>1197</v>
      </c>
      <c r="C108" s="4" t="s">
        <v>1972</v>
      </c>
      <c r="D108" s="5" t="s">
        <v>2076</v>
      </c>
      <c r="E108" s="36" t="s">
        <v>2209</v>
      </c>
      <c r="F108" s="34" t="s">
        <v>1971</v>
      </c>
      <c r="G108" s="108">
        <v>40000</v>
      </c>
      <c r="H108" s="4"/>
      <c r="I108" s="4"/>
      <c r="J108" s="4"/>
      <c r="K108" s="38">
        <v>1</v>
      </c>
      <c r="L108" s="516"/>
      <c r="M108" s="33" t="s">
        <v>2210</v>
      </c>
      <c r="N108" s="155" t="s">
        <v>2208</v>
      </c>
      <c r="O108" s="476"/>
      <c r="P108" s="2"/>
    </row>
    <row r="109" spans="1:16" s="113" customFormat="1" ht="32.25" hidden="1" customHeight="1" x14ac:dyDescent="0.4">
      <c r="A109" s="5">
        <v>391</v>
      </c>
      <c r="B109" s="33" t="s">
        <v>1197</v>
      </c>
      <c r="C109" s="4" t="s">
        <v>1975</v>
      </c>
      <c r="D109" s="5" t="s">
        <v>2076</v>
      </c>
      <c r="E109" s="36" t="s">
        <v>1974</v>
      </c>
      <c r="F109" s="34" t="s">
        <v>1973</v>
      </c>
      <c r="G109" s="108">
        <v>60000</v>
      </c>
      <c r="H109" s="4"/>
      <c r="I109" s="4"/>
      <c r="J109" s="4"/>
      <c r="K109" s="38">
        <v>1.3</v>
      </c>
      <c r="L109" s="516">
        <v>6000</v>
      </c>
      <c r="M109" s="33" t="s">
        <v>2221</v>
      </c>
      <c r="N109" s="155" t="s">
        <v>2211</v>
      </c>
      <c r="O109" s="476"/>
      <c r="P109" s="2"/>
    </row>
    <row r="110" spans="1:16" s="113" customFormat="1" ht="32.25" hidden="1" customHeight="1" x14ac:dyDescent="0.4">
      <c r="A110" s="5">
        <v>394</v>
      </c>
      <c r="B110" s="33" t="s">
        <v>2050</v>
      </c>
      <c r="C110" s="4" t="s">
        <v>2051</v>
      </c>
      <c r="D110" s="5" t="s">
        <v>105</v>
      </c>
      <c r="E110" s="36"/>
      <c r="F110" s="34" t="s">
        <v>2053</v>
      </c>
      <c r="G110" s="108">
        <v>15000</v>
      </c>
      <c r="H110" s="4"/>
      <c r="I110" s="4"/>
      <c r="J110" s="4"/>
      <c r="K110" s="38">
        <v>1.5</v>
      </c>
      <c r="L110" s="516"/>
      <c r="M110" s="33" t="s">
        <v>2052</v>
      </c>
      <c r="N110" s="5" t="s">
        <v>2240</v>
      </c>
      <c r="O110" s="476"/>
      <c r="P110" s="2"/>
    </row>
    <row r="111" spans="1:16" s="113" customFormat="1" ht="32.25" hidden="1" customHeight="1" x14ac:dyDescent="0.4">
      <c r="A111" s="464">
        <v>396</v>
      </c>
      <c r="B111" s="472" t="s">
        <v>2963</v>
      </c>
      <c r="C111" s="493" t="s">
        <v>2547</v>
      </c>
      <c r="D111" s="464" t="s">
        <v>2548</v>
      </c>
      <c r="E111" s="735" t="s">
        <v>2549</v>
      </c>
      <c r="F111" s="736" t="s">
        <v>2550</v>
      </c>
      <c r="G111" s="108">
        <v>10000</v>
      </c>
      <c r="H111" s="493"/>
      <c r="I111" s="4"/>
      <c r="J111" s="427"/>
      <c r="K111" s="737">
        <v>1.25</v>
      </c>
      <c r="L111" s="516">
        <v>5000</v>
      </c>
      <c r="M111" s="472" t="s">
        <v>2552</v>
      </c>
      <c r="N111" s="5" t="s">
        <v>2167</v>
      </c>
      <c r="O111" s="476"/>
      <c r="P111" s="2"/>
    </row>
    <row r="112" spans="1:16" s="300" customFormat="1" ht="32.25" customHeight="1" x14ac:dyDescent="0.4">
      <c r="A112" s="191">
        <v>401</v>
      </c>
      <c r="B112" s="191" t="s">
        <v>2893</v>
      </c>
      <c r="C112" s="191" t="s">
        <v>2894</v>
      </c>
      <c r="D112" s="191" t="s">
        <v>2895</v>
      </c>
      <c r="E112" s="492" t="s">
        <v>2896</v>
      </c>
      <c r="F112" s="191" t="s">
        <v>2897</v>
      </c>
      <c r="G112" s="153">
        <v>130000</v>
      </c>
      <c r="H112" s="191"/>
      <c r="I112" s="172"/>
      <c r="J112" s="529"/>
      <c r="K112" s="458">
        <v>1.5</v>
      </c>
      <c r="L112" s="189">
        <v>7500</v>
      </c>
      <c r="M112" s="191" t="s">
        <v>2898</v>
      </c>
      <c r="N112" s="155" t="s">
        <v>2899</v>
      </c>
      <c r="O112" s="479"/>
      <c r="P112" s="157"/>
    </row>
    <row r="113" spans="1:16" s="300" customFormat="1" ht="32.25" customHeight="1" x14ac:dyDescent="0.4">
      <c r="A113" s="155">
        <v>402</v>
      </c>
      <c r="B113" s="152" t="s">
        <v>1197</v>
      </c>
      <c r="C113" s="172" t="s">
        <v>11</v>
      </c>
      <c r="D113" s="155" t="s">
        <v>105</v>
      </c>
      <c r="E113" s="180" t="s">
        <v>2111</v>
      </c>
      <c r="F113" s="177" t="s">
        <v>2110</v>
      </c>
      <c r="G113" s="153">
        <v>90000</v>
      </c>
      <c r="H113" s="172"/>
      <c r="I113" s="172"/>
      <c r="J113" s="172"/>
      <c r="K113" s="190">
        <v>2</v>
      </c>
      <c r="L113" s="313">
        <v>3000</v>
      </c>
      <c r="M113" s="152" t="s">
        <v>2249</v>
      </c>
      <c r="N113" s="155" t="s">
        <v>815</v>
      </c>
      <c r="O113" s="479"/>
      <c r="P113" s="157"/>
    </row>
    <row r="114" spans="1:16" s="692" customFormat="1" ht="32.25" hidden="1" customHeight="1" x14ac:dyDescent="0.4">
      <c r="A114" s="682">
        <v>403</v>
      </c>
      <c r="B114" s="683" t="s">
        <v>3109</v>
      </c>
      <c r="C114" s="684" t="s">
        <v>2608</v>
      </c>
      <c r="D114" s="682" t="s">
        <v>2607</v>
      </c>
      <c r="E114" s="685" t="s">
        <v>2609</v>
      </c>
      <c r="F114" s="686" t="s">
        <v>2110</v>
      </c>
      <c r="G114" s="687">
        <v>140000</v>
      </c>
      <c r="H114" s="684"/>
      <c r="I114" s="684"/>
      <c r="J114" s="684"/>
      <c r="K114" s="688">
        <v>1.8</v>
      </c>
      <c r="L114" s="689">
        <v>3000</v>
      </c>
      <c r="M114" s="683">
        <v>2004.09</v>
      </c>
      <c r="N114" s="682" t="s">
        <v>2167</v>
      </c>
      <c r="O114" s="690"/>
      <c r="P114" s="691"/>
    </row>
    <row r="115" spans="1:16" s="300" customFormat="1" ht="32.25" hidden="1" customHeight="1" x14ac:dyDescent="0.4">
      <c r="A115" s="155">
        <v>404</v>
      </c>
      <c r="B115" s="152" t="s">
        <v>1197</v>
      </c>
      <c r="C115" s="172" t="s">
        <v>2133</v>
      </c>
      <c r="D115" s="155" t="s">
        <v>2147</v>
      </c>
      <c r="E115" s="180" t="s">
        <v>2138</v>
      </c>
      <c r="F115" s="177" t="s">
        <v>2139</v>
      </c>
      <c r="G115" s="153">
        <v>110000</v>
      </c>
      <c r="H115" s="172"/>
      <c r="I115" s="172"/>
      <c r="J115" s="172"/>
      <c r="K115" s="616">
        <v>0.25</v>
      </c>
      <c r="L115" s="313">
        <v>7900</v>
      </c>
      <c r="M115" s="152" t="s">
        <v>2731</v>
      </c>
      <c r="N115" s="155" t="s">
        <v>2313</v>
      </c>
      <c r="O115" s="479"/>
      <c r="P115" s="157"/>
    </row>
    <row r="116" spans="1:16" s="113" customFormat="1" ht="32.25" customHeight="1" x14ac:dyDescent="0.4">
      <c r="A116" s="5">
        <v>413</v>
      </c>
      <c r="B116" s="33" t="s">
        <v>2261</v>
      </c>
      <c r="C116" s="4" t="s">
        <v>2262</v>
      </c>
      <c r="D116" s="5" t="s">
        <v>108</v>
      </c>
      <c r="E116" s="36" t="s">
        <v>2263</v>
      </c>
      <c r="F116" s="34" t="s">
        <v>2264</v>
      </c>
      <c r="G116" s="108">
        <v>37000</v>
      </c>
      <c r="H116" s="4"/>
      <c r="I116" s="4"/>
      <c r="J116" s="4" t="s">
        <v>2260</v>
      </c>
      <c r="K116" s="38">
        <v>0.9</v>
      </c>
      <c r="L116" s="516">
        <v>4000</v>
      </c>
      <c r="M116" s="33" t="s">
        <v>2265</v>
      </c>
      <c r="N116" s="155" t="s">
        <v>744</v>
      </c>
      <c r="O116" s="476"/>
      <c r="P116" s="2"/>
    </row>
    <row r="117" spans="1:16" s="300" customFormat="1" ht="32.25" customHeight="1" x14ac:dyDescent="0.4">
      <c r="A117" s="155">
        <v>414</v>
      </c>
      <c r="B117" s="152" t="s">
        <v>1197</v>
      </c>
      <c r="C117" s="172" t="s">
        <v>11</v>
      </c>
      <c r="D117" s="155" t="s">
        <v>105</v>
      </c>
      <c r="E117" s="180" t="s">
        <v>2298</v>
      </c>
      <c r="F117" s="177" t="s">
        <v>2295</v>
      </c>
      <c r="G117" s="153">
        <v>100000</v>
      </c>
      <c r="H117" s="172"/>
      <c r="I117" s="172"/>
      <c r="J117" s="172"/>
      <c r="K117" s="190">
        <v>1.3</v>
      </c>
      <c r="L117" s="313">
        <v>3000</v>
      </c>
      <c r="M117" s="152" t="s">
        <v>2296</v>
      </c>
      <c r="N117" s="155" t="s">
        <v>2456</v>
      </c>
      <c r="O117" s="479"/>
      <c r="P117" s="157"/>
    </row>
    <row r="118" spans="1:16" s="300" customFormat="1" ht="32.25" hidden="1" customHeight="1" x14ac:dyDescent="0.4">
      <c r="A118" s="155">
        <v>415</v>
      </c>
      <c r="B118" s="152" t="s">
        <v>1197</v>
      </c>
      <c r="C118" s="172" t="s">
        <v>2310</v>
      </c>
      <c r="D118" s="155" t="s">
        <v>105</v>
      </c>
      <c r="E118" s="180" t="s">
        <v>2958</v>
      </c>
      <c r="F118" s="177" t="s">
        <v>2311</v>
      </c>
      <c r="G118" s="153">
        <v>140000</v>
      </c>
      <c r="H118" s="172"/>
      <c r="I118" s="172"/>
      <c r="J118" s="172"/>
      <c r="K118" s="616">
        <v>0.25</v>
      </c>
      <c r="L118" s="313">
        <v>6000</v>
      </c>
      <c r="M118" s="152">
        <v>1998</v>
      </c>
      <c r="N118" s="155" t="s">
        <v>2457</v>
      </c>
      <c r="O118" s="479"/>
      <c r="P118" s="157"/>
    </row>
    <row r="119" spans="1:16" s="300" customFormat="1" ht="32.25" customHeight="1" x14ac:dyDescent="0.4">
      <c r="A119" s="155">
        <v>418</v>
      </c>
      <c r="B119" s="152" t="s">
        <v>1197</v>
      </c>
      <c r="C119" s="172" t="s">
        <v>2325</v>
      </c>
      <c r="D119" s="155" t="s">
        <v>2326</v>
      </c>
      <c r="E119" s="180" t="s">
        <v>2664</v>
      </c>
      <c r="F119" s="177" t="s">
        <v>2329</v>
      </c>
      <c r="G119" s="153">
        <v>100000</v>
      </c>
      <c r="H119" s="172"/>
      <c r="I119" s="172"/>
      <c r="J119" s="172"/>
      <c r="K119" s="190">
        <v>2.5</v>
      </c>
      <c r="L119" s="313">
        <v>4000</v>
      </c>
      <c r="M119" s="152" t="s">
        <v>2665</v>
      </c>
      <c r="N119" s="155" t="s">
        <v>2456</v>
      </c>
      <c r="O119" s="479"/>
      <c r="P119" s="157"/>
    </row>
    <row r="120" spans="1:16" s="300" customFormat="1" ht="32.25" customHeight="1" x14ac:dyDescent="0.4">
      <c r="A120" s="155">
        <v>425</v>
      </c>
      <c r="B120" s="152" t="s">
        <v>1197</v>
      </c>
      <c r="C120" s="4" t="s">
        <v>200</v>
      </c>
      <c r="D120" s="5" t="s">
        <v>201</v>
      </c>
      <c r="E120" s="36" t="s">
        <v>2610</v>
      </c>
      <c r="F120" s="34" t="s">
        <v>2417</v>
      </c>
      <c r="G120" s="108">
        <v>140000</v>
      </c>
      <c r="H120" s="172"/>
      <c r="I120" s="172"/>
      <c r="J120" s="172"/>
      <c r="K120" s="38">
        <v>1</v>
      </c>
      <c r="L120" s="516">
        <v>7500</v>
      </c>
      <c r="M120" s="472" t="s">
        <v>2418</v>
      </c>
      <c r="N120" s="155" t="s">
        <v>2456</v>
      </c>
      <c r="O120" s="479"/>
      <c r="P120" s="157"/>
    </row>
    <row r="121" spans="1:16" s="300" customFormat="1" ht="32.25" hidden="1" customHeight="1" x14ac:dyDescent="0.4">
      <c r="A121" s="155">
        <v>426</v>
      </c>
      <c r="B121" s="152" t="s">
        <v>1712</v>
      </c>
      <c r="C121" s="172" t="s">
        <v>2366</v>
      </c>
      <c r="D121" s="155" t="s">
        <v>2367</v>
      </c>
      <c r="E121" s="180" t="s">
        <v>2369</v>
      </c>
      <c r="F121" s="177" t="s">
        <v>2365</v>
      </c>
      <c r="G121" s="153">
        <v>100000</v>
      </c>
      <c r="H121" s="172"/>
      <c r="I121" s="681"/>
      <c r="J121" s="172"/>
      <c r="K121" s="190">
        <v>2.5</v>
      </c>
      <c r="L121" s="313">
        <v>6050</v>
      </c>
      <c r="M121" s="152" t="s">
        <v>2368</v>
      </c>
      <c r="N121" s="155" t="s">
        <v>2456</v>
      </c>
      <c r="O121" s="479"/>
      <c r="P121" s="157"/>
    </row>
    <row r="122" spans="1:16" s="300" customFormat="1" ht="32.25" customHeight="1" x14ac:dyDescent="0.4">
      <c r="A122" s="155">
        <v>429</v>
      </c>
      <c r="B122" s="152" t="s">
        <v>2406</v>
      </c>
      <c r="C122" s="172" t="s">
        <v>11</v>
      </c>
      <c r="D122" s="155" t="s">
        <v>105</v>
      </c>
      <c r="E122" s="180" t="s">
        <v>2586</v>
      </c>
      <c r="F122" s="177" t="s">
        <v>2379</v>
      </c>
      <c r="G122" s="153">
        <v>80000</v>
      </c>
      <c r="H122" s="676"/>
      <c r="I122" s="677"/>
      <c r="J122" s="172"/>
      <c r="K122" s="190">
        <v>1.5</v>
      </c>
      <c r="L122" s="313">
        <v>3000</v>
      </c>
      <c r="M122" s="152" t="s">
        <v>2380</v>
      </c>
      <c r="N122" s="155" t="s">
        <v>815</v>
      </c>
      <c r="O122" s="479"/>
      <c r="P122" s="157"/>
    </row>
    <row r="123" spans="1:16" s="113" customFormat="1" ht="32.25" hidden="1" customHeight="1" x14ac:dyDescent="0.4">
      <c r="A123" s="5">
        <v>430</v>
      </c>
      <c r="B123" s="33" t="s">
        <v>2385</v>
      </c>
      <c r="C123" s="4" t="s">
        <v>2386</v>
      </c>
      <c r="D123" s="5" t="s">
        <v>2387</v>
      </c>
      <c r="E123" s="36" t="s">
        <v>2389</v>
      </c>
      <c r="F123" s="34" t="s">
        <v>2390</v>
      </c>
      <c r="G123" s="153">
        <v>30000</v>
      </c>
      <c r="H123" s="605"/>
      <c r="I123" s="615"/>
      <c r="J123" s="4"/>
      <c r="K123" s="38">
        <v>1.5</v>
      </c>
      <c r="L123" s="516">
        <v>3000</v>
      </c>
      <c r="M123" s="33"/>
      <c r="N123" s="5" t="s">
        <v>2388</v>
      </c>
      <c r="O123" s="476"/>
      <c r="P123" s="2"/>
    </row>
    <row r="124" spans="1:16" s="300" customFormat="1" ht="32.25" customHeight="1" x14ac:dyDescent="0.4">
      <c r="A124" s="155">
        <v>433</v>
      </c>
      <c r="B124" s="152" t="s">
        <v>1712</v>
      </c>
      <c r="C124" s="172" t="s">
        <v>2409</v>
      </c>
      <c r="D124" s="155" t="s">
        <v>2407</v>
      </c>
      <c r="E124" s="180" t="s">
        <v>2469</v>
      </c>
      <c r="F124" s="177" t="s">
        <v>2411</v>
      </c>
      <c r="G124" s="153">
        <v>70000</v>
      </c>
      <c r="H124" s="676"/>
      <c r="I124" s="677"/>
      <c r="J124" s="172"/>
      <c r="K124" s="190">
        <v>1.8</v>
      </c>
      <c r="L124" s="313">
        <v>5000</v>
      </c>
      <c r="M124" s="152" t="s">
        <v>2408</v>
      </c>
      <c r="N124" s="155" t="s">
        <v>2456</v>
      </c>
      <c r="O124" s="479"/>
      <c r="P124" s="157"/>
    </row>
    <row r="125" spans="1:16" s="300" customFormat="1" ht="32.25" customHeight="1" x14ac:dyDescent="0.4">
      <c r="A125" s="155">
        <v>434</v>
      </c>
      <c r="B125" s="152" t="s">
        <v>1712</v>
      </c>
      <c r="C125" s="172" t="s">
        <v>2409</v>
      </c>
      <c r="D125" s="155" t="s">
        <v>2410</v>
      </c>
      <c r="E125" s="180" t="s">
        <v>2461</v>
      </c>
      <c r="F125" s="177" t="s">
        <v>2411</v>
      </c>
      <c r="G125" s="153">
        <v>150000</v>
      </c>
      <c r="H125" s="676"/>
      <c r="I125" s="677"/>
      <c r="J125" s="172"/>
      <c r="K125" s="190">
        <v>1</v>
      </c>
      <c r="L125" s="313">
        <v>3500</v>
      </c>
      <c r="M125" s="152" t="s">
        <v>2852</v>
      </c>
      <c r="N125" s="155" t="s">
        <v>2456</v>
      </c>
      <c r="O125" s="479"/>
      <c r="P125" s="157"/>
    </row>
    <row r="126" spans="1:16" s="300" customFormat="1" ht="32.25" hidden="1" customHeight="1" x14ac:dyDescent="0.4">
      <c r="A126" s="155">
        <v>439</v>
      </c>
      <c r="B126" s="152" t="s">
        <v>1712</v>
      </c>
      <c r="C126" s="172" t="s">
        <v>2414</v>
      </c>
      <c r="D126" s="155" t="s">
        <v>2415</v>
      </c>
      <c r="E126" s="180" t="s">
        <v>2419</v>
      </c>
      <c r="F126" s="177" t="s">
        <v>2416</v>
      </c>
      <c r="G126" s="153">
        <v>100000</v>
      </c>
      <c r="H126" s="676"/>
      <c r="I126" s="677"/>
      <c r="J126" s="172"/>
      <c r="K126" s="190">
        <v>1.5</v>
      </c>
      <c r="L126" s="313">
        <v>6000</v>
      </c>
      <c r="M126" s="152" t="s">
        <v>2420</v>
      </c>
      <c r="N126" s="155" t="s">
        <v>2456</v>
      </c>
      <c r="O126" s="479"/>
      <c r="P126" s="157"/>
    </row>
    <row r="127" spans="1:16" s="300" customFormat="1" ht="32.25" customHeight="1" x14ac:dyDescent="0.4">
      <c r="A127" s="155">
        <v>442</v>
      </c>
      <c r="B127" s="152" t="s">
        <v>1712</v>
      </c>
      <c r="C127" s="172" t="s">
        <v>200</v>
      </c>
      <c r="D127" s="155" t="s">
        <v>2460</v>
      </c>
      <c r="E127" s="180" t="s">
        <v>2426</v>
      </c>
      <c r="F127" s="177" t="s">
        <v>2425</v>
      </c>
      <c r="G127" s="153">
        <v>110000</v>
      </c>
      <c r="H127" s="172" t="s">
        <v>2467</v>
      </c>
      <c r="I127" s="677"/>
      <c r="J127" s="172" t="s">
        <v>2455</v>
      </c>
      <c r="K127" s="190">
        <v>1.8</v>
      </c>
      <c r="L127" s="313">
        <v>4700</v>
      </c>
      <c r="M127" s="152" t="s">
        <v>2427</v>
      </c>
      <c r="N127" s="155" t="s">
        <v>2456</v>
      </c>
      <c r="O127" s="479"/>
      <c r="P127" s="157"/>
    </row>
    <row r="128" spans="1:16" s="300" customFormat="1" ht="32.25" customHeight="1" x14ac:dyDescent="0.4">
      <c r="A128" s="155">
        <v>458</v>
      </c>
      <c r="B128" s="152" t="s">
        <v>1197</v>
      </c>
      <c r="C128" s="172" t="s">
        <v>490</v>
      </c>
      <c r="D128" s="155" t="s">
        <v>105</v>
      </c>
      <c r="E128" s="180" t="s">
        <v>2535</v>
      </c>
      <c r="F128" s="177" t="s">
        <v>2488</v>
      </c>
      <c r="G128" s="153">
        <v>95000</v>
      </c>
      <c r="H128" s="676"/>
      <c r="I128" s="677"/>
      <c r="J128" s="172"/>
      <c r="K128" s="190">
        <v>1.3</v>
      </c>
      <c r="L128" s="313">
        <v>3000</v>
      </c>
      <c r="M128" s="152" t="s">
        <v>2471</v>
      </c>
      <c r="N128" s="155" t="s">
        <v>2456</v>
      </c>
      <c r="O128" s="479"/>
      <c r="P128" s="157"/>
    </row>
    <row r="129" spans="1:16" s="300" customFormat="1" ht="32.25" customHeight="1" x14ac:dyDescent="0.4">
      <c r="A129" s="155">
        <v>462</v>
      </c>
      <c r="B129" s="152" t="s">
        <v>2473</v>
      </c>
      <c r="C129" s="172" t="s">
        <v>2474</v>
      </c>
      <c r="D129" s="155" t="s">
        <v>2476</v>
      </c>
      <c r="E129" s="180" t="s">
        <v>2511</v>
      </c>
      <c r="F129" s="177" t="s">
        <v>2475</v>
      </c>
      <c r="G129" s="153">
        <v>60000</v>
      </c>
      <c r="H129" s="676"/>
      <c r="I129" s="677"/>
      <c r="J129" s="172"/>
      <c r="K129" s="190">
        <v>1.5</v>
      </c>
      <c r="L129" s="313">
        <v>3000</v>
      </c>
      <c r="M129" s="152" t="s">
        <v>2487</v>
      </c>
      <c r="N129" s="155" t="s">
        <v>2456</v>
      </c>
      <c r="O129" s="479"/>
      <c r="P129" s="157"/>
    </row>
    <row r="130" spans="1:16" s="113" customFormat="1" ht="32.25" hidden="1" customHeight="1" x14ac:dyDescent="0.4">
      <c r="A130" s="5">
        <v>463</v>
      </c>
      <c r="B130" s="33" t="s">
        <v>2504</v>
      </c>
      <c r="C130" s="4" t="s">
        <v>2495</v>
      </c>
      <c r="D130" s="5" t="s">
        <v>2497</v>
      </c>
      <c r="E130" s="36" t="s">
        <v>2498</v>
      </c>
      <c r="F130" s="34" t="s">
        <v>2496</v>
      </c>
      <c r="G130" s="153">
        <v>240000</v>
      </c>
      <c r="H130" s="605"/>
      <c r="I130" s="677"/>
      <c r="J130" s="4"/>
      <c r="K130" s="38"/>
      <c r="L130" s="516"/>
      <c r="M130" s="33" t="s">
        <v>2499</v>
      </c>
      <c r="N130" s="155" t="s">
        <v>2573</v>
      </c>
      <c r="O130" s="476"/>
      <c r="P130" s="2"/>
    </row>
    <row r="131" spans="1:16" s="300" customFormat="1" ht="32.25" hidden="1" customHeight="1" x14ac:dyDescent="0.4">
      <c r="A131" s="155">
        <v>464</v>
      </c>
      <c r="B131" s="152" t="s">
        <v>2505</v>
      </c>
      <c r="C131" s="172" t="s">
        <v>2506</v>
      </c>
      <c r="D131" s="155" t="s">
        <v>2507</v>
      </c>
      <c r="E131" s="180" t="s">
        <v>2510</v>
      </c>
      <c r="F131" s="177" t="s">
        <v>2508</v>
      </c>
      <c r="G131" s="153">
        <v>65000</v>
      </c>
      <c r="H131" s="676"/>
      <c r="I131" s="677"/>
      <c r="J131" s="172"/>
      <c r="K131" s="190">
        <v>1.5</v>
      </c>
      <c r="L131" s="313">
        <v>3000</v>
      </c>
      <c r="M131" s="152" t="s">
        <v>2509</v>
      </c>
      <c r="N131" s="155" t="s">
        <v>2456</v>
      </c>
      <c r="O131" s="479"/>
      <c r="P131" s="157"/>
    </row>
    <row r="132" spans="1:16" s="300" customFormat="1" ht="32.25" customHeight="1" x14ac:dyDescent="0.4">
      <c r="A132" s="155">
        <v>465</v>
      </c>
      <c r="B132" s="152" t="s">
        <v>1712</v>
      </c>
      <c r="C132" s="172" t="s">
        <v>2519</v>
      </c>
      <c r="D132" s="155" t="s">
        <v>2520</v>
      </c>
      <c r="E132" s="180" t="s">
        <v>2521</v>
      </c>
      <c r="F132" s="177" t="s">
        <v>2523</v>
      </c>
      <c r="G132" s="153">
        <v>50000</v>
      </c>
      <c r="H132" s="693"/>
      <c r="I132" s="677"/>
      <c r="J132" s="172"/>
      <c r="K132" s="190">
        <v>1.3</v>
      </c>
      <c r="L132" s="313">
        <v>3000</v>
      </c>
      <c r="M132" s="152" t="s">
        <v>2529</v>
      </c>
      <c r="N132" s="155" t="s">
        <v>2456</v>
      </c>
      <c r="O132" s="479"/>
      <c r="P132" s="157"/>
    </row>
    <row r="133" spans="1:16" s="300" customFormat="1" ht="32.25" customHeight="1" x14ac:dyDescent="0.4">
      <c r="A133" s="155">
        <v>467</v>
      </c>
      <c r="B133" s="152" t="s">
        <v>1712</v>
      </c>
      <c r="C133" s="172" t="s">
        <v>2519</v>
      </c>
      <c r="D133" s="155" t="s">
        <v>2520</v>
      </c>
      <c r="E133" s="180" t="s">
        <v>2522</v>
      </c>
      <c r="F133" s="177" t="s">
        <v>2523</v>
      </c>
      <c r="G133" s="153">
        <v>90000</v>
      </c>
      <c r="H133" s="676"/>
      <c r="I133" s="677"/>
      <c r="J133" s="172"/>
      <c r="K133" s="190">
        <v>1.5</v>
      </c>
      <c r="L133" s="313">
        <v>4300</v>
      </c>
      <c r="M133" s="152" t="s">
        <v>2530</v>
      </c>
      <c r="N133" s="155" t="s">
        <v>2456</v>
      </c>
      <c r="O133" s="479"/>
      <c r="P133" s="157"/>
    </row>
    <row r="134" spans="1:16" s="300" customFormat="1" ht="32.25" hidden="1" customHeight="1" x14ac:dyDescent="0.4">
      <c r="A134" s="155">
        <v>468</v>
      </c>
      <c r="B134" s="152" t="s">
        <v>2566</v>
      </c>
      <c r="C134" s="172" t="s">
        <v>2536</v>
      </c>
      <c r="D134" s="155" t="s">
        <v>2520</v>
      </c>
      <c r="E134" s="180" t="s">
        <v>2538</v>
      </c>
      <c r="F134" s="177" t="s">
        <v>2537</v>
      </c>
      <c r="G134" s="153">
        <v>115000</v>
      </c>
      <c r="H134" s="676"/>
      <c r="I134" s="677"/>
      <c r="J134" s="172"/>
      <c r="K134" s="190">
        <v>1.8</v>
      </c>
      <c r="L134" s="313">
        <v>3000</v>
      </c>
      <c r="M134" s="152">
        <v>2209</v>
      </c>
      <c r="N134" s="155" t="s">
        <v>2456</v>
      </c>
      <c r="O134" s="479"/>
      <c r="P134" s="157"/>
    </row>
    <row r="135" spans="1:16" s="113" customFormat="1" ht="32.25" hidden="1" customHeight="1" x14ac:dyDescent="0.4">
      <c r="A135" s="5">
        <v>469</v>
      </c>
      <c r="B135" s="33" t="s">
        <v>2539</v>
      </c>
      <c r="C135" s="4" t="s">
        <v>2540</v>
      </c>
      <c r="D135" s="5" t="s">
        <v>2541</v>
      </c>
      <c r="E135" s="36" t="s">
        <v>2542</v>
      </c>
      <c r="F135" s="34" t="s">
        <v>2544</v>
      </c>
      <c r="G135" s="153">
        <v>70000</v>
      </c>
      <c r="H135" s="605"/>
      <c r="I135" s="615"/>
      <c r="J135" s="4"/>
      <c r="K135" s="38">
        <v>1</v>
      </c>
      <c r="L135" s="516">
        <v>2500</v>
      </c>
      <c r="M135" s="33" t="s">
        <v>2543</v>
      </c>
      <c r="N135" s="155" t="s">
        <v>2545</v>
      </c>
      <c r="O135" s="476"/>
      <c r="P135" s="2"/>
    </row>
    <row r="136" spans="1:16" s="300" customFormat="1" ht="32.25" customHeight="1" x14ac:dyDescent="0.4">
      <c r="A136" s="155">
        <v>470</v>
      </c>
      <c r="B136" s="152" t="s">
        <v>1712</v>
      </c>
      <c r="C136" s="172" t="s">
        <v>2567</v>
      </c>
      <c r="D136" s="155" t="s">
        <v>2568</v>
      </c>
      <c r="E136" s="180" t="s">
        <v>2569</v>
      </c>
      <c r="F136" s="177" t="s">
        <v>2570</v>
      </c>
      <c r="G136" s="153">
        <v>80000</v>
      </c>
      <c r="H136" s="676"/>
      <c r="I136" s="677"/>
      <c r="J136" s="172"/>
      <c r="K136" s="190">
        <v>1.5</v>
      </c>
      <c r="L136" s="313">
        <v>4300</v>
      </c>
      <c r="M136" s="152" t="s">
        <v>2571</v>
      </c>
      <c r="N136" s="155" t="s">
        <v>2456</v>
      </c>
      <c r="O136" s="479"/>
      <c r="P136" s="157"/>
    </row>
    <row r="137" spans="1:16" s="300" customFormat="1" ht="32.25" customHeight="1" x14ac:dyDescent="0.4">
      <c r="A137" s="155">
        <v>480</v>
      </c>
      <c r="B137" s="152" t="s">
        <v>1712</v>
      </c>
      <c r="C137" s="172" t="s">
        <v>200</v>
      </c>
      <c r="D137" s="155" t="s">
        <v>235</v>
      </c>
      <c r="E137" s="180" t="s">
        <v>2613</v>
      </c>
      <c r="F137" s="177" t="s">
        <v>2612</v>
      </c>
      <c r="G137" s="153">
        <v>110000</v>
      </c>
      <c r="H137" s="676"/>
      <c r="I137" s="677"/>
      <c r="J137" s="172"/>
      <c r="K137" s="190">
        <v>1.3</v>
      </c>
      <c r="L137" s="313">
        <v>5500</v>
      </c>
      <c r="M137" s="152" t="s">
        <v>2614</v>
      </c>
      <c r="N137" s="155" t="s">
        <v>1322</v>
      </c>
      <c r="O137" s="479"/>
      <c r="P137" s="157"/>
    </row>
    <row r="138" spans="1:16" s="300" customFormat="1" ht="32.25" customHeight="1" x14ac:dyDescent="0.4">
      <c r="A138" s="155">
        <v>481</v>
      </c>
      <c r="B138" s="152" t="s">
        <v>2621</v>
      </c>
      <c r="C138" s="172" t="s">
        <v>200</v>
      </c>
      <c r="D138" s="155" t="s">
        <v>2622</v>
      </c>
      <c r="E138" s="180" t="s">
        <v>2624</v>
      </c>
      <c r="F138" s="177" t="s">
        <v>2623</v>
      </c>
      <c r="G138" s="153">
        <v>30000</v>
      </c>
      <c r="H138" s="676"/>
      <c r="I138" s="677"/>
      <c r="J138" s="172"/>
      <c r="K138" s="190">
        <v>1.3</v>
      </c>
      <c r="L138" s="313">
        <v>3000</v>
      </c>
      <c r="M138" s="152" t="s">
        <v>2625</v>
      </c>
      <c r="N138" s="155" t="s">
        <v>3178</v>
      </c>
      <c r="O138" s="479"/>
      <c r="P138" s="157"/>
    </row>
    <row r="139" spans="1:16" s="300" customFormat="1" ht="32.25" customHeight="1" x14ac:dyDescent="0.4">
      <c r="A139" s="155">
        <v>482</v>
      </c>
      <c r="B139" s="152" t="s">
        <v>3088</v>
      </c>
      <c r="C139" s="172" t="s">
        <v>200</v>
      </c>
      <c r="D139" s="155" t="s">
        <v>1605</v>
      </c>
      <c r="E139" s="180" t="s">
        <v>3058</v>
      </c>
      <c r="F139" s="177" t="s">
        <v>2823</v>
      </c>
      <c r="G139" s="153">
        <v>95000</v>
      </c>
      <c r="H139" s="676"/>
      <c r="I139" s="677"/>
      <c r="J139" s="172"/>
      <c r="K139" s="190">
        <v>1.3</v>
      </c>
      <c r="L139" s="313">
        <v>3000</v>
      </c>
      <c r="M139" s="152" t="s">
        <v>2631</v>
      </c>
      <c r="N139" s="155" t="s">
        <v>1322</v>
      </c>
      <c r="O139" s="479"/>
      <c r="P139" s="157"/>
    </row>
    <row r="140" spans="1:16" s="300" customFormat="1" ht="32.25" hidden="1" customHeight="1" x14ac:dyDescent="0.4">
      <c r="A140" s="155">
        <v>486</v>
      </c>
      <c r="B140" s="152" t="s">
        <v>1712</v>
      </c>
      <c r="C140" s="172" t="s">
        <v>2641</v>
      </c>
      <c r="D140" s="155" t="s">
        <v>1680</v>
      </c>
      <c r="E140" s="180" t="s">
        <v>2642</v>
      </c>
      <c r="F140" s="177" t="s">
        <v>2645</v>
      </c>
      <c r="G140" s="153">
        <v>185000</v>
      </c>
      <c r="H140" s="676" t="s">
        <v>2850</v>
      </c>
      <c r="I140" s="677"/>
      <c r="J140" s="172"/>
      <c r="K140" s="190">
        <v>3</v>
      </c>
      <c r="L140" s="313">
        <v>3000</v>
      </c>
      <c r="M140" s="152"/>
      <c r="N140" s="155" t="s">
        <v>1322</v>
      </c>
      <c r="O140" s="479"/>
      <c r="P140" s="157"/>
    </row>
    <row r="141" spans="1:16" s="692" customFormat="1" ht="32.25" customHeight="1" x14ac:dyDescent="0.4">
      <c r="A141" s="682">
        <v>487</v>
      </c>
      <c r="B141" s="683" t="s">
        <v>1712</v>
      </c>
      <c r="C141" s="684" t="s">
        <v>766</v>
      </c>
      <c r="D141" s="682" t="s">
        <v>105</v>
      </c>
      <c r="E141" s="685" t="s">
        <v>2675</v>
      </c>
      <c r="F141" s="686" t="s">
        <v>2683</v>
      </c>
      <c r="G141" s="687">
        <v>120000</v>
      </c>
      <c r="H141" s="684" t="s">
        <v>2684</v>
      </c>
      <c r="I141" s="700"/>
      <c r="J141" s="714" t="s">
        <v>3140</v>
      </c>
      <c r="K141" s="688">
        <v>1.4</v>
      </c>
      <c r="L141" s="689">
        <v>4500</v>
      </c>
      <c r="M141" s="683" t="s">
        <v>2685</v>
      </c>
      <c r="N141" s="682" t="s">
        <v>1322</v>
      </c>
      <c r="O141" s="690"/>
      <c r="P141" s="691"/>
    </row>
    <row r="142" spans="1:16" s="300" customFormat="1" ht="32.25" hidden="1" customHeight="1" x14ac:dyDescent="0.4">
      <c r="A142" s="155">
        <v>490</v>
      </c>
      <c r="B142" s="152" t="s">
        <v>1712</v>
      </c>
      <c r="C142" s="172" t="s">
        <v>3028</v>
      </c>
      <c r="D142" s="155" t="s">
        <v>3029</v>
      </c>
      <c r="E142" s="180" t="s">
        <v>3030</v>
      </c>
      <c r="F142" s="177" t="s">
        <v>3031</v>
      </c>
      <c r="G142" s="153">
        <v>90000</v>
      </c>
      <c r="H142" s="172"/>
      <c r="I142" s="677"/>
      <c r="J142" s="172"/>
      <c r="K142" s="190">
        <v>2</v>
      </c>
      <c r="L142" s="313">
        <v>3000</v>
      </c>
      <c r="M142" s="152"/>
      <c r="N142" s="155" t="s">
        <v>2781</v>
      </c>
      <c r="O142" s="479"/>
      <c r="P142" s="157"/>
    </row>
    <row r="143" spans="1:16" s="113" customFormat="1" ht="32.25" hidden="1" customHeight="1" x14ac:dyDescent="0.4">
      <c r="A143" s="5">
        <v>491</v>
      </c>
      <c r="B143" s="152" t="s">
        <v>1712</v>
      </c>
      <c r="C143" s="4" t="s">
        <v>2698</v>
      </c>
      <c r="D143" s="155" t="s">
        <v>2700</v>
      </c>
      <c r="E143" s="36" t="s">
        <v>2702</v>
      </c>
      <c r="F143" s="34" t="s">
        <v>2697</v>
      </c>
      <c r="G143" s="153">
        <v>100000</v>
      </c>
      <c r="H143" s="605"/>
      <c r="I143" s="615"/>
      <c r="J143" s="4"/>
      <c r="K143" s="38"/>
      <c r="L143" s="516">
        <v>976</v>
      </c>
      <c r="M143" s="33" t="s">
        <v>2701</v>
      </c>
      <c r="N143" s="155" t="s">
        <v>2840</v>
      </c>
      <c r="O143" s="476"/>
      <c r="P143" s="2"/>
    </row>
    <row r="144" spans="1:16" s="113" customFormat="1" ht="32.25" customHeight="1" x14ac:dyDescent="0.4">
      <c r="A144" s="5">
        <v>492</v>
      </c>
      <c r="B144" s="152" t="s">
        <v>1712</v>
      </c>
      <c r="C144" s="172" t="s">
        <v>200</v>
      </c>
      <c r="D144" s="155" t="s">
        <v>1605</v>
      </c>
      <c r="E144" s="36" t="s">
        <v>2704</v>
      </c>
      <c r="F144" s="34" t="s">
        <v>2703</v>
      </c>
      <c r="G144" s="153">
        <v>100000</v>
      </c>
      <c r="H144" s="605"/>
      <c r="I144" s="615"/>
      <c r="J144" s="4"/>
      <c r="K144" s="38">
        <v>1.8</v>
      </c>
      <c r="L144" s="516">
        <v>4000</v>
      </c>
      <c r="M144" s="33" t="s">
        <v>2705</v>
      </c>
      <c r="N144" s="155" t="s">
        <v>2781</v>
      </c>
      <c r="O144" s="476"/>
      <c r="P144" s="2"/>
    </row>
    <row r="145" spans="1:16" s="113" customFormat="1" ht="32.25" customHeight="1" x14ac:dyDescent="0.4">
      <c r="A145" s="5">
        <v>496</v>
      </c>
      <c r="B145" s="152" t="s">
        <v>1712</v>
      </c>
      <c r="C145" s="172" t="s">
        <v>200</v>
      </c>
      <c r="D145" s="155" t="s">
        <v>2715</v>
      </c>
      <c r="E145" s="180" t="s">
        <v>2716</v>
      </c>
      <c r="F145" s="34" t="s">
        <v>2714</v>
      </c>
      <c r="G145" s="153">
        <v>80000</v>
      </c>
      <c r="H145" s="605"/>
      <c r="I145" s="615"/>
      <c r="J145" s="4"/>
      <c r="K145" s="38">
        <v>1.5</v>
      </c>
      <c r="L145" s="516">
        <v>5120</v>
      </c>
      <c r="M145" s="33" t="s">
        <v>2717</v>
      </c>
      <c r="N145" s="155" t="s">
        <v>2781</v>
      </c>
      <c r="O145" s="476"/>
      <c r="P145" s="2"/>
    </row>
    <row r="146" spans="1:16" s="721" customFormat="1" ht="32.25" customHeight="1" x14ac:dyDescent="0.4">
      <c r="A146" s="711">
        <v>498</v>
      </c>
      <c r="B146" s="683" t="s">
        <v>1712</v>
      </c>
      <c r="C146" s="684" t="s">
        <v>200</v>
      </c>
      <c r="D146" s="682" t="s">
        <v>1605</v>
      </c>
      <c r="E146" s="685" t="s">
        <v>2982</v>
      </c>
      <c r="F146" s="713" t="s">
        <v>2890</v>
      </c>
      <c r="G146" s="687">
        <v>130000</v>
      </c>
      <c r="H146" s="714" t="s">
        <v>2891</v>
      </c>
      <c r="I146" s="715"/>
      <c r="J146" s="714" t="s">
        <v>3140</v>
      </c>
      <c r="K146" s="716">
        <v>1.5</v>
      </c>
      <c r="L146" s="717">
        <v>6300</v>
      </c>
      <c r="M146" s="718" t="s">
        <v>2892</v>
      </c>
      <c r="N146" s="155" t="s">
        <v>2781</v>
      </c>
      <c r="O146" s="719"/>
      <c r="P146" s="720"/>
    </row>
    <row r="147" spans="1:16" s="300" customFormat="1" ht="32.25" customHeight="1" x14ac:dyDescent="0.4">
      <c r="A147" s="155">
        <v>499</v>
      </c>
      <c r="B147" s="152" t="s">
        <v>1712</v>
      </c>
      <c r="C147" s="172" t="s">
        <v>200</v>
      </c>
      <c r="D147" s="155" t="s">
        <v>1605</v>
      </c>
      <c r="E147" s="180" t="s">
        <v>2722</v>
      </c>
      <c r="F147" s="177" t="s">
        <v>2724</v>
      </c>
      <c r="G147" s="153">
        <v>70000</v>
      </c>
      <c r="H147" s="676"/>
      <c r="I147" s="677"/>
      <c r="J147" s="172"/>
      <c r="K147" s="190">
        <v>1.3</v>
      </c>
      <c r="L147" s="313">
        <v>3500</v>
      </c>
      <c r="M147" s="152" t="s">
        <v>2723</v>
      </c>
      <c r="N147" s="155" t="s">
        <v>2781</v>
      </c>
      <c r="O147" s="479"/>
      <c r="P147" s="157"/>
    </row>
    <row r="148" spans="1:16" s="300" customFormat="1" ht="32.25" customHeight="1" x14ac:dyDescent="0.4">
      <c r="A148" s="155">
        <v>506</v>
      </c>
      <c r="B148" s="152" t="s">
        <v>1712</v>
      </c>
      <c r="C148" s="172" t="s">
        <v>200</v>
      </c>
      <c r="D148" s="155" t="s">
        <v>1605</v>
      </c>
      <c r="E148" s="180" t="s">
        <v>2738</v>
      </c>
      <c r="F148" s="177" t="s">
        <v>2755</v>
      </c>
      <c r="G148" s="153">
        <v>95000</v>
      </c>
      <c r="H148" s="676"/>
      <c r="I148" s="677"/>
      <c r="J148" s="172"/>
      <c r="K148" s="190">
        <v>1.5</v>
      </c>
      <c r="L148" s="313">
        <v>5000</v>
      </c>
      <c r="M148" s="152" t="s">
        <v>2795</v>
      </c>
      <c r="N148" s="155" t="s">
        <v>815</v>
      </c>
      <c r="O148" s="479"/>
      <c r="P148" s="157"/>
    </row>
    <row r="149" spans="1:16" s="113" customFormat="1" ht="32.25" hidden="1" customHeight="1" x14ac:dyDescent="0.4">
      <c r="A149" s="155">
        <v>508</v>
      </c>
      <c r="B149" s="152" t="s">
        <v>1712</v>
      </c>
      <c r="C149" s="4" t="s">
        <v>2737</v>
      </c>
      <c r="D149" s="155" t="s">
        <v>1605</v>
      </c>
      <c r="E149" s="36" t="s">
        <v>2984</v>
      </c>
      <c r="F149" s="34" t="s">
        <v>2755</v>
      </c>
      <c r="G149" s="153">
        <v>90000</v>
      </c>
      <c r="H149" s="4" t="s">
        <v>2983</v>
      </c>
      <c r="I149" s="615"/>
      <c r="J149" s="4" t="s">
        <v>3141</v>
      </c>
      <c r="K149" s="38">
        <v>1.5</v>
      </c>
      <c r="L149" s="516">
        <v>3300</v>
      </c>
      <c r="M149" s="33" t="s">
        <v>2739</v>
      </c>
      <c r="N149" s="155" t="s">
        <v>2781</v>
      </c>
      <c r="O149" s="476"/>
      <c r="P149" s="2"/>
    </row>
    <row r="150" spans="1:16" s="113" customFormat="1" ht="32.25" customHeight="1" x14ac:dyDescent="0.4">
      <c r="A150" s="5">
        <v>509</v>
      </c>
      <c r="B150" s="152" t="s">
        <v>1712</v>
      </c>
      <c r="C150" s="172" t="s">
        <v>200</v>
      </c>
      <c r="D150" s="155" t="s">
        <v>1605</v>
      </c>
      <c r="E150" s="36" t="s">
        <v>2740</v>
      </c>
      <c r="F150" s="34" t="s">
        <v>2755</v>
      </c>
      <c r="G150" s="153">
        <v>100000</v>
      </c>
      <c r="H150" s="605"/>
      <c r="I150" s="615"/>
      <c r="J150" s="4"/>
      <c r="K150" s="38">
        <v>1.3</v>
      </c>
      <c r="L150" s="516">
        <v>5000</v>
      </c>
      <c r="M150" s="33" t="s">
        <v>2741</v>
      </c>
      <c r="N150" s="155" t="s">
        <v>2781</v>
      </c>
      <c r="O150" s="476"/>
      <c r="P150" s="2"/>
    </row>
    <row r="151" spans="1:16" s="113" customFormat="1" ht="32.25" hidden="1" customHeight="1" x14ac:dyDescent="0.4">
      <c r="A151" s="5">
        <v>510</v>
      </c>
      <c r="B151" s="152" t="s">
        <v>1712</v>
      </c>
      <c r="C151" s="172" t="s">
        <v>2756</v>
      </c>
      <c r="D151" s="155" t="s">
        <v>3078</v>
      </c>
      <c r="E151" s="36" t="s">
        <v>3079</v>
      </c>
      <c r="F151" s="34" t="s">
        <v>2757</v>
      </c>
      <c r="G151" s="153">
        <f>180000+19000</f>
        <v>199000</v>
      </c>
      <c r="H151" s="605"/>
      <c r="I151" s="615"/>
      <c r="J151" s="4"/>
      <c r="K151" s="38"/>
      <c r="L151" s="516"/>
      <c r="M151" s="33">
        <v>2000</v>
      </c>
      <c r="N151" s="155" t="s">
        <v>3150</v>
      </c>
      <c r="O151" s="476"/>
      <c r="P151" s="2"/>
    </row>
    <row r="152" spans="1:16" s="113" customFormat="1" ht="32.25" customHeight="1" x14ac:dyDescent="0.4">
      <c r="A152" s="711">
        <v>511</v>
      </c>
      <c r="B152" s="683" t="s">
        <v>1712</v>
      </c>
      <c r="C152" s="684" t="s">
        <v>200</v>
      </c>
      <c r="D152" s="682" t="s">
        <v>1605</v>
      </c>
      <c r="E152" s="712" t="s">
        <v>2981</v>
      </c>
      <c r="F152" s="713" t="s">
        <v>2827</v>
      </c>
      <c r="G152" s="687">
        <v>100000</v>
      </c>
      <c r="H152" s="714" t="s">
        <v>2828</v>
      </c>
      <c r="I152" s="715"/>
      <c r="J152" s="714" t="s">
        <v>3140</v>
      </c>
      <c r="K152" s="716">
        <v>1.5</v>
      </c>
      <c r="L152" s="717">
        <v>6900</v>
      </c>
      <c r="M152" s="718" t="s">
        <v>2829</v>
      </c>
      <c r="N152" s="155" t="s">
        <v>2781</v>
      </c>
      <c r="O152" s="476"/>
      <c r="P152" s="2"/>
    </row>
    <row r="153" spans="1:16" s="113" customFormat="1" ht="32.25" hidden="1" customHeight="1" x14ac:dyDescent="0.4">
      <c r="A153" s="5">
        <v>512</v>
      </c>
      <c r="B153" s="152" t="s">
        <v>2769</v>
      </c>
      <c r="C153" s="172" t="s">
        <v>2770</v>
      </c>
      <c r="D153" s="155" t="s">
        <v>3177</v>
      </c>
      <c r="E153" s="36" t="s">
        <v>2771</v>
      </c>
      <c r="F153" s="34" t="s">
        <v>2775</v>
      </c>
      <c r="G153" s="153">
        <v>30000</v>
      </c>
      <c r="H153" s="605"/>
      <c r="I153" s="615"/>
      <c r="J153" s="4"/>
      <c r="K153" s="710">
        <v>0.35</v>
      </c>
      <c r="L153" s="516">
        <v>4200</v>
      </c>
      <c r="M153" s="33">
        <v>2018.07</v>
      </c>
      <c r="N153" s="155" t="s">
        <v>738</v>
      </c>
      <c r="O153" s="476"/>
      <c r="P153" s="2"/>
    </row>
    <row r="154" spans="1:16" s="113" customFormat="1" ht="32.25" customHeight="1" x14ac:dyDescent="0.4">
      <c r="A154" s="5">
        <v>516</v>
      </c>
      <c r="B154" s="152" t="s">
        <v>2769</v>
      </c>
      <c r="C154" s="172" t="s">
        <v>200</v>
      </c>
      <c r="D154" s="155" t="s">
        <v>1605</v>
      </c>
      <c r="E154" s="180" t="s">
        <v>2798</v>
      </c>
      <c r="F154" s="34" t="s">
        <v>2797</v>
      </c>
      <c r="G154" s="153">
        <v>70000</v>
      </c>
      <c r="H154" s="605"/>
      <c r="I154" s="615"/>
      <c r="J154" s="4"/>
      <c r="K154" s="38">
        <v>1.3</v>
      </c>
      <c r="L154" s="516">
        <v>4500</v>
      </c>
      <c r="M154" s="33" t="s">
        <v>2799</v>
      </c>
      <c r="N154" s="155" t="s">
        <v>2781</v>
      </c>
      <c r="O154" s="476"/>
      <c r="P154" s="2"/>
    </row>
    <row r="155" spans="1:16" s="113" customFormat="1" ht="32.25" customHeight="1" x14ac:dyDescent="0.4">
      <c r="A155" s="5">
        <v>517</v>
      </c>
      <c r="B155" s="152" t="s">
        <v>2769</v>
      </c>
      <c r="C155" s="172" t="s">
        <v>200</v>
      </c>
      <c r="D155" s="155" t="s">
        <v>1605</v>
      </c>
      <c r="E155" s="36" t="s">
        <v>2800</v>
      </c>
      <c r="F155" s="34" t="s">
        <v>2797</v>
      </c>
      <c r="G155" s="153">
        <v>70000</v>
      </c>
      <c r="H155" s="605"/>
      <c r="I155" s="615"/>
      <c r="J155" s="4"/>
      <c r="K155" s="38">
        <v>1.3</v>
      </c>
      <c r="L155" s="516">
        <v>4500</v>
      </c>
      <c r="M155" s="33" t="s">
        <v>2801</v>
      </c>
      <c r="N155" s="155" t="s">
        <v>2781</v>
      </c>
      <c r="O155" s="476"/>
      <c r="P155" s="2"/>
    </row>
    <row r="156" spans="1:16" s="113" customFormat="1" ht="32.25" hidden="1" customHeight="1" x14ac:dyDescent="0.4">
      <c r="A156" s="5">
        <v>519</v>
      </c>
      <c r="B156" s="152" t="s">
        <v>2769</v>
      </c>
      <c r="C156" s="4" t="s">
        <v>2804</v>
      </c>
      <c r="D156" s="5" t="s">
        <v>2802</v>
      </c>
      <c r="E156" s="36" t="s">
        <v>2805</v>
      </c>
      <c r="F156" s="34" t="s">
        <v>2803</v>
      </c>
      <c r="G156" s="153">
        <v>50000</v>
      </c>
      <c r="H156" s="605"/>
      <c r="I156" s="615"/>
      <c r="J156" s="4"/>
      <c r="K156" s="38">
        <v>1.5</v>
      </c>
      <c r="L156" s="516">
        <v>200</v>
      </c>
      <c r="M156" s="33" t="s">
        <v>2880</v>
      </c>
      <c r="N156" s="155" t="s">
        <v>3189</v>
      </c>
      <c r="O156" s="476"/>
      <c r="P156" s="2"/>
    </row>
    <row r="157" spans="1:16" s="113" customFormat="1" ht="32.25" hidden="1" customHeight="1" x14ac:dyDescent="0.4">
      <c r="A157" s="5">
        <v>520</v>
      </c>
      <c r="B157" s="152" t="s">
        <v>2769</v>
      </c>
      <c r="C157" s="4" t="s">
        <v>2804</v>
      </c>
      <c r="D157" s="5" t="s">
        <v>2802</v>
      </c>
      <c r="E157" s="36" t="s">
        <v>2806</v>
      </c>
      <c r="F157" s="34" t="s">
        <v>2803</v>
      </c>
      <c r="G157" s="153">
        <v>50000</v>
      </c>
      <c r="H157" s="605"/>
      <c r="I157" s="615"/>
      <c r="J157" s="4"/>
      <c r="K157" s="38">
        <v>1.5</v>
      </c>
      <c r="L157" s="516">
        <v>200</v>
      </c>
      <c r="M157" s="33" t="s">
        <v>2881</v>
      </c>
      <c r="N157" s="155" t="s">
        <v>3189</v>
      </c>
      <c r="O157" s="476"/>
      <c r="P157" s="2"/>
    </row>
    <row r="158" spans="1:16" s="113" customFormat="1" ht="32.25" customHeight="1" x14ac:dyDescent="0.4">
      <c r="A158" s="5">
        <v>526</v>
      </c>
      <c r="B158" s="152" t="s">
        <v>1197</v>
      </c>
      <c r="C158" s="172" t="s">
        <v>200</v>
      </c>
      <c r="D158" s="155" t="s">
        <v>1605</v>
      </c>
      <c r="E158" s="36" t="s">
        <v>2874</v>
      </c>
      <c r="F158" s="34" t="s">
        <v>2875</v>
      </c>
      <c r="G158" s="153">
        <v>150000</v>
      </c>
      <c r="H158" s="605"/>
      <c r="I158" s="615"/>
      <c r="J158" s="4"/>
      <c r="K158" s="38">
        <v>2.5</v>
      </c>
      <c r="L158" s="516">
        <v>4500</v>
      </c>
      <c r="M158" s="33" t="s">
        <v>2876</v>
      </c>
      <c r="N158" s="155"/>
      <c r="O158" s="476"/>
      <c r="P158" s="2"/>
    </row>
    <row r="159" spans="1:16" s="113" customFormat="1" ht="32.25" customHeight="1" x14ac:dyDescent="0.4">
      <c r="A159" s="5">
        <v>527</v>
      </c>
      <c r="B159" s="152" t="s">
        <v>1197</v>
      </c>
      <c r="C159" s="172" t="s">
        <v>200</v>
      </c>
      <c r="D159" s="155" t="s">
        <v>1605</v>
      </c>
      <c r="E159" s="36" t="s">
        <v>2886</v>
      </c>
      <c r="F159" s="34" t="s">
        <v>2875</v>
      </c>
      <c r="G159" s="153">
        <v>70000</v>
      </c>
      <c r="H159" s="605" t="s">
        <v>2888</v>
      </c>
      <c r="I159" s="615"/>
      <c r="J159" s="4"/>
      <c r="K159" s="38">
        <v>1.5</v>
      </c>
      <c r="L159" s="516">
        <v>4500</v>
      </c>
      <c r="M159" s="33" t="s">
        <v>2877</v>
      </c>
      <c r="N159" s="155"/>
      <c r="O159" s="476"/>
      <c r="P159" s="2"/>
    </row>
    <row r="160" spans="1:16" s="113" customFormat="1" ht="32.25" customHeight="1" x14ac:dyDescent="0.4">
      <c r="A160" s="5">
        <v>528</v>
      </c>
      <c r="B160" s="152" t="s">
        <v>1197</v>
      </c>
      <c r="C160" s="172" t="s">
        <v>200</v>
      </c>
      <c r="D160" s="155" t="s">
        <v>1605</v>
      </c>
      <c r="E160" s="36" t="s">
        <v>2879</v>
      </c>
      <c r="F160" s="34" t="s">
        <v>2875</v>
      </c>
      <c r="G160" s="153">
        <v>120000</v>
      </c>
      <c r="H160" s="605"/>
      <c r="I160" s="615"/>
      <c r="J160" s="4"/>
      <c r="K160" s="38">
        <v>1.4</v>
      </c>
      <c r="L160" s="516">
        <v>4300</v>
      </c>
      <c r="M160" s="33" t="s">
        <v>2878</v>
      </c>
      <c r="N160" s="155"/>
      <c r="O160" s="476"/>
      <c r="P160" s="2"/>
    </row>
    <row r="161" spans="1:16" s="113" customFormat="1" ht="32.25" customHeight="1" x14ac:dyDescent="0.4">
      <c r="A161" s="5">
        <v>531</v>
      </c>
      <c r="B161" s="152" t="s">
        <v>1197</v>
      </c>
      <c r="C161" s="172" t="s">
        <v>200</v>
      </c>
      <c r="D161" s="155" t="s">
        <v>1605</v>
      </c>
      <c r="E161" s="36" t="s">
        <v>2900</v>
      </c>
      <c r="F161" s="34" t="s">
        <v>2889</v>
      </c>
      <c r="G161" s="153">
        <v>90000</v>
      </c>
      <c r="H161" s="605"/>
      <c r="I161" s="615"/>
      <c r="J161" s="4"/>
      <c r="K161" s="38">
        <v>1.8</v>
      </c>
      <c r="L161" s="516">
        <v>4000</v>
      </c>
      <c r="M161" s="33" t="s">
        <v>2901</v>
      </c>
      <c r="N161" s="155"/>
      <c r="O161" s="476"/>
      <c r="P161" s="2"/>
    </row>
    <row r="162" spans="1:16" s="113" customFormat="1" ht="32.25" hidden="1" customHeight="1" x14ac:dyDescent="0.4">
      <c r="A162" s="5">
        <v>533</v>
      </c>
      <c r="B162" s="152" t="s">
        <v>1197</v>
      </c>
      <c r="C162" s="172" t="s">
        <v>2908</v>
      </c>
      <c r="D162" s="155" t="s">
        <v>2917</v>
      </c>
      <c r="E162" s="36" t="s">
        <v>2912</v>
      </c>
      <c r="F162" s="34" t="s">
        <v>2910</v>
      </c>
      <c r="G162" s="153">
        <v>50000</v>
      </c>
      <c r="H162" s="605"/>
      <c r="I162" s="615"/>
      <c r="J162" s="4"/>
      <c r="K162" s="38">
        <v>0.2</v>
      </c>
      <c r="L162" s="516">
        <v>3800</v>
      </c>
      <c r="M162" s="33" t="s">
        <v>2913</v>
      </c>
      <c r="N162" s="155"/>
      <c r="O162" s="476"/>
      <c r="P162" s="2"/>
    </row>
    <row r="163" spans="1:16" s="113" customFormat="1" ht="32.25" hidden="1" customHeight="1" x14ac:dyDescent="0.4">
      <c r="A163" s="5">
        <v>535</v>
      </c>
      <c r="B163" s="152" t="s">
        <v>1197</v>
      </c>
      <c r="C163" s="172" t="s">
        <v>2914</v>
      </c>
      <c r="D163" s="155" t="s">
        <v>1605</v>
      </c>
      <c r="E163" s="36" t="s">
        <v>2915</v>
      </c>
      <c r="F163" s="34" t="s">
        <v>2928</v>
      </c>
      <c r="G163" s="153">
        <v>70000</v>
      </c>
      <c r="H163" s="605"/>
      <c r="I163" s="615"/>
      <c r="J163" s="4"/>
      <c r="K163" s="38">
        <v>0.9</v>
      </c>
      <c r="L163" s="516">
        <v>2500</v>
      </c>
      <c r="M163" s="33" t="s">
        <v>2916</v>
      </c>
      <c r="N163" s="155"/>
      <c r="O163" s="476"/>
      <c r="P163" s="2"/>
    </row>
    <row r="164" spans="1:16" s="113" customFormat="1" ht="32.25" hidden="1" customHeight="1" x14ac:dyDescent="0.4">
      <c r="A164" s="5">
        <v>538</v>
      </c>
      <c r="B164" s="152" t="s">
        <v>1197</v>
      </c>
      <c r="C164" s="172" t="s">
        <v>731</v>
      </c>
      <c r="D164" s="155" t="s">
        <v>2934</v>
      </c>
      <c r="E164" s="36" t="s">
        <v>2935</v>
      </c>
      <c r="F164" s="34" t="s">
        <v>2930</v>
      </c>
      <c r="G164" s="153">
        <v>40000</v>
      </c>
      <c r="H164" s="605"/>
      <c r="I164" s="615"/>
      <c r="J164" s="4"/>
      <c r="K164" s="38"/>
      <c r="L164" s="516">
        <v>10000</v>
      </c>
      <c r="M164" s="33" t="s">
        <v>2936</v>
      </c>
      <c r="N164" s="155"/>
      <c r="O164" s="476"/>
      <c r="P164" s="2"/>
    </row>
    <row r="165" spans="1:16" s="300" customFormat="1" ht="32.25" hidden="1" customHeight="1" x14ac:dyDescent="0.4">
      <c r="A165" s="155">
        <v>540</v>
      </c>
      <c r="B165" s="152" t="s">
        <v>1197</v>
      </c>
      <c r="C165" s="172" t="s">
        <v>2942</v>
      </c>
      <c r="D165" s="155" t="s">
        <v>2956</v>
      </c>
      <c r="E165" s="180" t="s">
        <v>2957</v>
      </c>
      <c r="F165" s="177" t="s">
        <v>2943</v>
      </c>
      <c r="G165" s="153">
        <v>120000</v>
      </c>
      <c r="H165" s="676"/>
      <c r="I165" s="677"/>
      <c r="J165" s="172"/>
      <c r="K165" s="190">
        <v>3</v>
      </c>
      <c r="L165" s="313">
        <v>4060</v>
      </c>
      <c r="M165" s="152">
        <v>2011.03</v>
      </c>
      <c r="N165" s="155"/>
      <c r="O165" s="479"/>
      <c r="P165" s="157"/>
    </row>
    <row r="166" spans="1:16" s="113" customFormat="1" ht="32.25" customHeight="1" x14ac:dyDescent="0.4">
      <c r="A166" s="5">
        <v>543</v>
      </c>
      <c r="B166" s="152" t="s">
        <v>1197</v>
      </c>
      <c r="C166" s="172" t="s">
        <v>200</v>
      </c>
      <c r="D166" s="155" t="s">
        <v>1605</v>
      </c>
      <c r="E166" s="36" t="s">
        <v>2986</v>
      </c>
      <c r="F166" s="34" t="s">
        <v>2985</v>
      </c>
      <c r="G166" s="153">
        <v>80000</v>
      </c>
      <c r="H166" s="605"/>
      <c r="I166" s="615"/>
      <c r="J166" s="4"/>
      <c r="K166" s="38">
        <v>1.5</v>
      </c>
      <c r="L166" s="516">
        <v>4700</v>
      </c>
      <c r="M166" s="33" t="s">
        <v>2987</v>
      </c>
      <c r="N166" s="155"/>
      <c r="O166" s="476"/>
      <c r="P166" s="2"/>
    </row>
    <row r="167" spans="1:16" s="113" customFormat="1" ht="32.25" customHeight="1" x14ac:dyDescent="0.4">
      <c r="A167" s="5">
        <v>545</v>
      </c>
      <c r="B167" s="152" t="s">
        <v>1197</v>
      </c>
      <c r="C167" s="172" t="s">
        <v>200</v>
      </c>
      <c r="D167" s="155" t="s">
        <v>1605</v>
      </c>
      <c r="E167" s="36" t="s">
        <v>2990</v>
      </c>
      <c r="F167" s="34" t="s">
        <v>2985</v>
      </c>
      <c r="G167" s="153">
        <v>70000</v>
      </c>
      <c r="H167" s="605"/>
      <c r="I167" s="615"/>
      <c r="J167" s="4"/>
      <c r="K167" s="38">
        <v>1.8</v>
      </c>
      <c r="L167" s="516">
        <v>5000</v>
      </c>
      <c r="M167" s="33" t="s">
        <v>2991</v>
      </c>
      <c r="N167" s="155"/>
      <c r="O167" s="476"/>
      <c r="P167" s="2"/>
    </row>
    <row r="168" spans="1:16" s="113" customFormat="1" ht="32.25" customHeight="1" x14ac:dyDescent="0.4">
      <c r="A168" s="5">
        <v>548</v>
      </c>
      <c r="B168" s="152" t="s">
        <v>1197</v>
      </c>
      <c r="C168" s="172" t="s">
        <v>200</v>
      </c>
      <c r="D168" s="155" t="s">
        <v>3003</v>
      </c>
      <c r="E168" s="36" t="s">
        <v>3005</v>
      </c>
      <c r="F168" s="34" t="s">
        <v>3008</v>
      </c>
      <c r="G168" s="153">
        <v>80000</v>
      </c>
      <c r="H168" s="605"/>
      <c r="I168" s="615"/>
      <c r="J168" s="4"/>
      <c r="K168" s="38">
        <v>1.5</v>
      </c>
      <c r="L168" s="516">
        <v>5500</v>
      </c>
      <c r="M168" s="33" t="s">
        <v>3004</v>
      </c>
      <c r="N168" s="155"/>
      <c r="O168" s="476"/>
      <c r="P168" s="2"/>
    </row>
    <row r="169" spans="1:16" s="113" customFormat="1" ht="32.25" customHeight="1" x14ac:dyDescent="0.4">
      <c r="A169" s="5">
        <v>549</v>
      </c>
      <c r="B169" s="152" t="s">
        <v>1197</v>
      </c>
      <c r="C169" s="172" t="s">
        <v>200</v>
      </c>
      <c r="D169" s="155" t="s">
        <v>3003</v>
      </c>
      <c r="E169" s="36" t="s">
        <v>3006</v>
      </c>
      <c r="F169" s="34" t="s">
        <v>3008</v>
      </c>
      <c r="G169" s="153">
        <v>110000</v>
      </c>
      <c r="H169" s="4" t="s">
        <v>3083</v>
      </c>
      <c r="I169" s="615"/>
      <c r="J169" s="4" t="s">
        <v>3084</v>
      </c>
      <c r="K169" s="38">
        <v>1.5</v>
      </c>
      <c r="L169" s="516">
        <v>5500</v>
      </c>
      <c r="M169" s="33" t="s">
        <v>3007</v>
      </c>
      <c r="N169" s="155"/>
      <c r="O169" s="476"/>
      <c r="P169" s="2"/>
    </row>
    <row r="170" spans="1:16" s="113" customFormat="1" ht="32.25" customHeight="1" x14ac:dyDescent="0.4">
      <c r="A170" s="5">
        <v>551</v>
      </c>
      <c r="B170" s="152" t="s">
        <v>1197</v>
      </c>
      <c r="C170" s="172" t="s">
        <v>200</v>
      </c>
      <c r="D170" s="155" t="s">
        <v>3032</v>
      </c>
      <c r="E170" s="36" t="s">
        <v>3034</v>
      </c>
      <c r="F170" s="34" t="s">
        <v>3033</v>
      </c>
      <c r="G170" s="153">
        <v>60000</v>
      </c>
      <c r="H170" s="605"/>
      <c r="I170" s="615"/>
      <c r="J170" s="4"/>
      <c r="K170" s="38">
        <v>1.3</v>
      </c>
      <c r="L170" s="516">
        <v>5500</v>
      </c>
      <c r="M170" s="33" t="s">
        <v>3035</v>
      </c>
      <c r="N170" s="155"/>
      <c r="O170" s="476"/>
      <c r="P170" s="2"/>
    </row>
    <row r="171" spans="1:16" s="113" customFormat="1" ht="32.25" customHeight="1" x14ac:dyDescent="0.4">
      <c r="A171" s="5">
        <v>552</v>
      </c>
      <c r="B171" s="152" t="s">
        <v>1197</v>
      </c>
      <c r="C171" s="172" t="s">
        <v>200</v>
      </c>
      <c r="D171" s="155" t="s">
        <v>1605</v>
      </c>
      <c r="E171" s="36" t="s">
        <v>3041</v>
      </c>
      <c r="F171" s="34" t="s">
        <v>3042</v>
      </c>
      <c r="G171" s="153">
        <v>110000</v>
      </c>
      <c r="H171" s="605"/>
      <c r="I171" s="615"/>
      <c r="J171" s="4"/>
      <c r="K171" s="38">
        <v>1.5</v>
      </c>
      <c r="L171" s="516">
        <v>5000</v>
      </c>
      <c r="M171" s="33" t="s">
        <v>3043</v>
      </c>
      <c r="N171" s="155"/>
      <c r="O171" s="476"/>
      <c r="P171" s="2"/>
    </row>
    <row r="172" spans="1:16" s="113" customFormat="1" ht="32.25" customHeight="1" x14ac:dyDescent="0.4">
      <c r="A172" s="5">
        <v>553</v>
      </c>
      <c r="B172" s="152" t="s">
        <v>1197</v>
      </c>
      <c r="C172" s="172" t="s">
        <v>200</v>
      </c>
      <c r="D172" s="155" t="s">
        <v>1605</v>
      </c>
      <c r="E172" s="36" t="s">
        <v>3054</v>
      </c>
      <c r="F172" s="34" t="s">
        <v>3080</v>
      </c>
      <c r="G172" s="153">
        <v>80000</v>
      </c>
      <c r="H172" s="605"/>
      <c r="I172" s="615"/>
      <c r="J172" s="4"/>
      <c r="K172" s="38">
        <v>1.5</v>
      </c>
      <c r="L172" s="516">
        <v>5000</v>
      </c>
      <c r="M172" s="33" t="s">
        <v>3055</v>
      </c>
      <c r="N172" s="155"/>
      <c r="O172" s="476"/>
      <c r="P172" s="2"/>
    </row>
    <row r="173" spans="1:16" s="765" customFormat="1" ht="32.25" customHeight="1" x14ac:dyDescent="0.4">
      <c r="A173" s="751">
        <v>554</v>
      </c>
      <c r="B173" s="752" t="s">
        <v>1197</v>
      </c>
      <c r="C173" s="753" t="s">
        <v>200</v>
      </c>
      <c r="D173" s="754" t="s">
        <v>1605</v>
      </c>
      <c r="E173" s="755" t="s">
        <v>3056</v>
      </c>
      <c r="F173" s="756" t="s">
        <v>3080</v>
      </c>
      <c r="G173" s="757">
        <v>80000</v>
      </c>
      <c r="H173" s="758"/>
      <c r="I173" s="759"/>
      <c r="J173" s="758"/>
      <c r="K173" s="760">
        <v>1.5</v>
      </c>
      <c r="L173" s="761">
        <v>3700</v>
      </c>
      <c r="M173" s="762" t="s">
        <v>3057</v>
      </c>
      <c r="N173" s="754"/>
      <c r="O173" s="763"/>
      <c r="P173" s="764"/>
    </row>
    <row r="174" spans="1:16" s="781" customFormat="1" ht="32.25" customHeight="1" x14ac:dyDescent="0.4">
      <c r="A174" s="767">
        <v>555</v>
      </c>
      <c r="B174" s="768" t="s">
        <v>1197</v>
      </c>
      <c r="C174" s="769" t="s">
        <v>200</v>
      </c>
      <c r="D174" s="770" t="s">
        <v>1605</v>
      </c>
      <c r="E174" s="771" t="s">
        <v>3077</v>
      </c>
      <c r="F174" s="772" t="s">
        <v>3080</v>
      </c>
      <c r="G174" s="773">
        <v>70000</v>
      </c>
      <c r="H174" s="774" t="s">
        <v>3101</v>
      </c>
      <c r="I174" s="775"/>
      <c r="J174" s="774" t="s">
        <v>3145</v>
      </c>
      <c r="K174" s="776">
        <v>1.8</v>
      </c>
      <c r="L174" s="777">
        <v>3000</v>
      </c>
      <c r="M174" s="778" t="s">
        <v>3071</v>
      </c>
      <c r="N174" s="770"/>
      <c r="O174" s="779"/>
      <c r="P174" s="780"/>
    </row>
    <row r="175" spans="1:16" s="113" customFormat="1" ht="32.25" customHeight="1" x14ac:dyDescent="0.4">
      <c r="A175" s="5">
        <v>556</v>
      </c>
      <c r="B175" s="152" t="s">
        <v>1197</v>
      </c>
      <c r="C175" s="172" t="s">
        <v>200</v>
      </c>
      <c r="D175" s="155" t="s">
        <v>1605</v>
      </c>
      <c r="E175" s="36" t="s">
        <v>3072</v>
      </c>
      <c r="F175" s="34" t="s">
        <v>3080</v>
      </c>
      <c r="G175" s="153">
        <v>80000</v>
      </c>
      <c r="H175" s="4"/>
      <c r="I175" s="783"/>
      <c r="J175" s="4"/>
      <c r="K175" s="38">
        <v>0.9</v>
      </c>
      <c r="L175" s="516">
        <v>3700</v>
      </c>
      <c r="M175" s="33" t="s">
        <v>3073</v>
      </c>
      <c r="N175" s="155"/>
      <c r="O175" s="476"/>
      <c r="P175" s="2"/>
    </row>
    <row r="176" spans="1:16" s="113" customFormat="1" ht="32.25" hidden="1" customHeight="1" x14ac:dyDescent="0.4">
      <c r="A176" s="5">
        <v>558</v>
      </c>
      <c r="B176" s="152" t="s">
        <v>1197</v>
      </c>
      <c r="C176" s="172" t="s">
        <v>3159</v>
      </c>
      <c r="D176" s="155" t="s">
        <v>3076</v>
      </c>
      <c r="E176" s="36" t="s">
        <v>3081</v>
      </c>
      <c r="F176" s="34" t="s">
        <v>3080</v>
      </c>
      <c r="G176" s="153">
        <v>40000</v>
      </c>
      <c r="H176" s="605"/>
      <c r="I176" s="615"/>
      <c r="J176" s="4"/>
      <c r="K176" s="38">
        <v>1</v>
      </c>
      <c r="L176" s="516">
        <v>4000</v>
      </c>
      <c r="M176" s="33"/>
      <c r="N176" s="155"/>
      <c r="O176" s="476"/>
      <c r="P176" s="2"/>
    </row>
    <row r="177" spans="1:16" s="113" customFormat="1" ht="32.25" customHeight="1" x14ac:dyDescent="0.4">
      <c r="A177" s="5">
        <v>559</v>
      </c>
      <c r="B177" s="152" t="s">
        <v>1197</v>
      </c>
      <c r="C177" s="172" t="s">
        <v>200</v>
      </c>
      <c r="D177" s="155" t="s">
        <v>1605</v>
      </c>
      <c r="E177" s="36" t="s">
        <v>3090</v>
      </c>
      <c r="F177" s="34" t="s">
        <v>3089</v>
      </c>
      <c r="G177" s="153">
        <v>100000</v>
      </c>
      <c r="H177" s="605"/>
      <c r="I177" s="615"/>
      <c r="J177" s="4"/>
      <c r="K177" s="38">
        <v>1</v>
      </c>
      <c r="L177" s="516">
        <v>3000</v>
      </c>
      <c r="M177" s="33" t="s">
        <v>3085</v>
      </c>
      <c r="N177" s="155"/>
      <c r="O177" s="476"/>
      <c r="P177" s="2"/>
    </row>
    <row r="178" spans="1:16" s="113" customFormat="1" ht="32.25" customHeight="1" x14ac:dyDescent="0.4">
      <c r="A178" s="5">
        <v>560</v>
      </c>
      <c r="B178" s="152" t="s">
        <v>1197</v>
      </c>
      <c r="C178" s="172" t="s">
        <v>200</v>
      </c>
      <c r="D178" s="155" t="s">
        <v>1605</v>
      </c>
      <c r="E178" s="36" t="s">
        <v>3095</v>
      </c>
      <c r="F178" s="34" t="s">
        <v>3093</v>
      </c>
      <c r="G178" s="153">
        <v>80000</v>
      </c>
      <c r="H178" s="766"/>
      <c r="I178" s="615"/>
      <c r="J178" s="4"/>
      <c r="K178" s="38">
        <v>1.5</v>
      </c>
      <c r="L178" s="516">
        <v>4500</v>
      </c>
      <c r="M178" s="33" t="s">
        <v>3094</v>
      </c>
      <c r="N178" s="155"/>
      <c r="O178" s="476"/>
      <c r="P178" s="2"/>
    </row>
    <row r="179" spans="1:16" s="113" customFormat="1" ht="32.25" customHeight="1" x14ac:dyDescent="0.4">
      <c r="A179" s="5">
        <v>563</v>
      </c>
      <c r="B179" s="152" t="s">
        <v>1197</v>
      </c>
      <c r="C179" s="172" t="s">
        <v>200</v>
      </c>
      <c r="D179" s="155" t="s">
        <v>1605</v>
      </c>
      <c r="E179" s="36" t="s">
        <v>3188</v>
      </c>
      <c r="F179" s="34" t="s">
        <v>3127</v>
      </c>
      <c r="G179" s="153">
        <v>100000</v>
      </c>
      <c r="H179" s="605"/>
      <c r="I179" s="615"/>
      <c r="J179" s="4"/>
      <c r="K179" s="38">
        <v>2</v>
      </c>
      <c r="L179" s="516">
        <v>3500</v>
      </c>
      <c r="M179" s="33" t="s">
        <v>3128</v>
      </c>
      <c r="N179" s="155" t="s">
        <v>3116</v>
      </c>
      <c r="O179" s="476"/>
      <c r="P179" s="2"/>
    </row>
    <row r="180" spans="1:16" s="113" customFormat="1" ht="32.25" customHeight="1" x14ac:dyDescent="0.4">
      <c r="A180" s="5">
        <v>564</v>
      </c>
      <c r="B180" s="152" t="s">
        <v>1197</v>
      </c>
      <c r="C180" s="172" t="s">
        <v>200</v>
      </c>
      <c r="D180" s="155" t="s">
        <v>1605</v>
      </c>
      <c r="E180" s="36" t="s">
        <v>3133</v>
      </c>
      <c r="F180" s="34" t="s">
        <v>3134</v>
      </c>
      <c r="G180" s="153">
        <v>110000</v>
      </c>
      <c r="H180" s="605"/>
      <c r="I180" s="615"/>
      <c r="J180" s="4"/>
      <c r="K180" s="38">
        <v>2</v>
      </c>
      <c r="L180" s="516">
        <v>4500</v>
      </c>
      <c r="M180" s="33" t="s">
        <v>3135</v>
      </c>
      <c r="N180" s="155" t="s">
        <v>3116</v>
      </c>
      <c r="O180" s="476"/>
      <c r="P180" s="2"/>
    </row>
    <row r="181" spans="1:16" s="113" customFormat="1" ht="32.25" customHeight="1" x14ac:dyDescent="0.4">
      <c r="A181" s="5">
        <v>565</v>
      </c>
      <c r="B181" s="152" t="s">
        <v>1197</v>
      </c>
      <c r="C181" s="172" t="s">
        <v>200</v>
      </c>
      <c r="D181" s="155" t="s">
        <v>1605</v>
      </c>
      <c r="E181" s="36" t="s">
        <v>3156</v>
      </c>
      <c r="F181" s="34" t="s">
        <v>3157</v>
      </c>
      <c r="G181" s="153">
        <v>80000</v>
      </c>
      <c r="H181" s="605"/>
      <c r="I181" s="615"/>
      <c r="J181" s="4"/>
      <c r="K181" s="38">
        <v>1.5</v>
      </c>
      <c r="L181" s="516">
        <v>4500</v>
      </c>
      <c r="M181" s="33" t="s">
        <v>3158</v>
      </c>
      <c r="N181" s="155" t="s">
        <v>3116</v>
      </c>
      <c r="O181" s="476"/>
      <c r="P181" s="2"/>
    </row>
    <row r="182" spans="1:16" s="113" customFormat="1" ht="32.25" hidden="1" customHeight="1" x14ac:dyDescent="0.4">
      <c r="A182" s="5">
        <v>566</v>
      </c>
      <c r="B182" s="152" t="s">
        <v>1197</v>
      </c>
      <c r="C182" s="172" t="s">
        <v>3162</v>
      </c>
      <c r="D182" s="155" t="s">
        <v>1605</v>
      </c>
      <c r="E182" s="36" t="s">
        <v>3164</v>
      </c>
      <c r="F182" s="34" t="s">
        <v>3171</v>
      </c>
      <c r="G182" s="153">
        <v>350000</v>
      </c>
      <c r="H182" s="605"/>
      <c r="I182" s="615"/>
      <c r="J182" s="4"/>
      <c r="K182" s="38">
        <v>2.5</v>
      </c>
      <c r="L182" s="516">
        <v>4000</v>
      </c>
      <c r="M182" s="33" t="s">
        <v>3165</v>
      </c>
      <c r="N182" s="155" t="s">
        <v>3116</v>
      </c>
      <c r="O182" s="476"/>
      <c r="P182" s="2"/>
    </row>
    <row r="183" spans="1:16" s="707" customFormat="1" ht="32.25" customHeight="1" x14ac:dyDescent="0.4">
      <c r="A183" s="455">
        <v>567</v>
      </c>
      <c r="B183" s="541" t="s">
        <v>1197</v>
      </c>
      <c r="C183" s="513" t="s">
        <v>3163</v>
      </c>
      <c r="D183" s="455" t="s">
        <v>1605</v>
      </c>
      <c r="E183" s="542" t="s">
        <v>3168</v>
      </c>
      <c r="F183" s="568" t="s">
        <v>3171</v>
      </c>
      <c r="G183" s="543">
        <v>130000</v>
      </c>
      <c r="H183" s="705"/>
      <c r="I183" s="706"/>
      <c r="J183" s="513"/>
      <c r="K183" s="569">
        <v>1.5</v>
      </c>
      <c r="L183" s="570">
        <v>4500</v>
      </c>
      <c r="M183" s="541" t="s">
        <v>3170</v>
      </c>
      <c r="N183" s="455" t="s">
        <v>3116</v>
      </c>
      <c r="O183" s="544"/>
      <c r="P183" s="545"/>
    </row>
    <row r="184" spans="1:16" s="795" customFormat="1" ht="32.25" customHeight="1" x14ac:dyDescent="0.4">
      <c r="A184" s="784">
        <v>568</v>
      </c>
      <c r="B184" s="785" t="s">
        <v>1197</v>
      </c>
      <c r="C184" s="786" t="s">
        <v>3163</v>
      </c>
      <c r="D184" s="784" t="s">
        <v>1605</v>
      </c>
      <c r="E184" s="787" t="s">
        <v>3166</v>
      </c>
      <c r="F184" s="788" t="s">
        <v>3172</v>
      </c>
      <c r="G184" s="789">
        <v>80000</v>
      </c>
      <c r="H184" s="786" t="s">
        <v>3190</v>
      </c>
      <c r="I184" s="790"/>
      <c r="J184" s="786" t="s">
        <v>3191</v>
      </c>
      <c r="K184" s="791">
        <v>1.5</v>
      </c>
      <c r="L184" s="792">
        <v>4300</v>
      </c>
      <c r="M184" s="785" t="s">
        <v>3173</v>
      </c>
      <c r="N184" s="784" t="s">
        <v>3116</v>
      </c>
      <c r="O184" s="793"/>
      <c r="P184" s="794"/>
    </row>
    <row r="185" spans="1:16" s="707" customFormat="1" ht="32.25" customHeight="1" x14ac:dyDescent="0.4">
      <c r="A185" s="455">
        <v>569</v>
      </c>
      <c r="B185" s="541" t="s">
        <v>1197</v>
      </c>
      <c r="C185" s="513" t="s">
        <v>3163</v>
      </c>
      <c r="D185" s="455" t="s">
        <v>1605</v>
      </c>
      <c r="E185" s="542" t="s">
        <v>3198</v>
      </c>
      <c r="F185" s="568" t="s">
        <v>3172</v>
      </c>
      <c r="G185" s="543">
        <v>80000</v>
      </c>
      <c r="H185" s="705" t="s">
        <v>3208</v>
      </c>
      <c r="I185" s="706"/>
      <c r="J185" s="513"/>
      <c r="K185" s="569">
        <v>1.8</v>
      </c>
      <c r="L185" s="570">
        <v>4700</v>
      </c>
      <c r="M185" s="541" t="s">
        <v>3174</v>
      </c>
      <c r="N185" s="455" t="s">
        <v>3116</v>
      </c>
      <c r="O185" s="544"/>
      <c r="P185" s="545"/>
    </row>
    <row r="186" spans="1:16" s="113" customFormat="1" ht="32.25" hidden="1" customHeight="1" x14ac:dyDescent="0.4">
      <c r="A186" s="5">
        <v>570</v>
      </c>
      <c r="B186" s="152" t="s">
        <v>1197</v>
      </c>
      <c r="C186" s="172" t="s">
        <v>3162</v>
      </c>
      <c r="D186" s="155" t="s">
        <v>1605</v>
      </c>
      <c r="E186" s="36" t="s">
        <v>3175</v>
      </c>
      <c r="F186" s="34" t="s">
        <v>3172</v>
      </c>
      <c r="G186" s="153">
        <v>200000</v>
      </c>
      <c r="H186" s="605"/>
      <c r="I186" s="615"/>
      <c r="J186" s="4"/>
      <c r="K186" s="38">
        <v>2.5</v>
      </c>
      <c r="L186" s="516">
        <v>3500</v>
      </c>
      <c r="M186" s="33" t="s">
        <v>3176</v>
      </c>
      <c r="N186" s="155" t="s">
        <v>3116</v>
      </c>
      <c r="O186" s="476"/>
      <c r="P186" s="2"/>
    </row>
    <row r="187" spans="1:16" s="113" customFormat="1" ht="32.25" customHeight="1" x14ac:dyDescent="0.4">
      <c r="A187" s="5">
        <v>571</v>
      </c>
      <c r="B187" s="152" t="s">
        <v>1197</v>
      </c>
      <c r="C187" s="172" t="s">
        <v>1182</v>
      </c>
      <c r="D187" s="155" t="s">
        <v>1605</v>
      </c>
      <c r="E187" s="36" t="s">
        <v>3187</v>
      </c>
      <c r="F187" s="34" t="s">
        <v>3182</v>
      </c>
      <c r="G187" s="153">
        <v>70000</v>
      </c>
      <c r="H187" s="605"/>
      <c r="I187" s="615"/>
      <c r="J187" s="4"/>
      <c r="K187" s="38">
        <v>1.5</v>
      </c>
      <c r="L187" s="516">
        <v>2500</v>
      </c>
      <c r="M187" s="321" t="s">
        <v>3185</v>
      </c>
      <c r="N187" s="155" t="s">
        <v>3116</v>
      </c>
      <c r="O187" s="476"/>
      <c r="P187" s="2"/>
    </row>
    <row r="188" spans="1:16" s="113" customFormat="1" ht="32.25" customHeight="1" x14ac:dyDescent="0.4">
      <c r="A188" s="5">
        <v>572</v>
      </c>
      <c r="B188" s="152" t="s">
        <v>1197</v>
      </c>
      <c r="C188" s="172" t="s">
        <v>1182</v>
      </c>
      <c r="D188" s="155" t="s">
        <v>1605</v>
      </c>
      <c r="E188" s="36" t="s">
        <v>3183</v>
      </c>
      <c r="F188" s="34" t="s">
        <v>3182</v>
      </c>
      <c r="G188" s="153">
        <v>120000</v>
      </c>
      <c r="H188" s="605"/>
      <c r="I188" s="615"/>
      <c r="J188" s="4"/>
      <c r="K188" s="38">
        <v>1.5</v>
      </c>
      <c r="L188" s="516">
        <v>5500</v>
      </c>
      <c r="M188" s="33" t="s">
        <v>3184</v>
      </c>
      <c r="N188" s="155" t="s">
        <v>3116</v>
      </c>
      <c r="O188" s="476"/>
      <c r="P188" s="2"/>
    </row>
    <row r="189" spans="1:16" s="707" customFormat="1" ht="32.25" customHeight="1" x14ac:dyDescent="0.4">
      <c r="A189" s="455">
        <v>573</v>
      </c>
      <c r="B189" s="541" t="s">
        <v>1197</v>
      </c>
      <c r="C189" s="513" t="s">
        <v>1182</v>
      </c>
      <c r="D189" s="455" t="s">
        <v>1605</v>
      </c>
      <c r="E189" s="542" t="s">
        <v>3200</v>
      </c>
      <c r="F189" s="568" t="s">
        <v>3182</v>
      </c>
      <c r="G189" s="543">
        <v>120000</v>
      </c>
      <c r="H189" s="705" t="s">
        <v>3201</v>
      </c>
      <c r="I189" s="706"/>
      <c r="J189" s="513"/>
      <c r="K189" s="569">
        <v>1.5</v>
      </c>
      <c r="L189" s="570">
        <v>4000</v>
      </c>
      <c r="M189" s="541" t="s">
        <v>3186</v>
      </c>
      <c r="N189" s="455" t="s">
        <v>3116</v>
      </c>
      <c r="O189" s="544"/>
      <c r="P189" s="545"/>
    </row>
    <row r="190" spans="1:16" s="113" customFormat="1" ht="32.25" customHeight="1" x14ac:dyDescent="0.4">
      <c r="A190" s="5"/>
      <c r="B190" s="152"/>
      <c r="C190" s="172"/>
      <c r="D190" s="155"/>
      <c r="E190" s="36"/>
      <c r="F190" s="34"/>
      <c r="G190" s="153"/>
      <c r="H190" s="605"/>
      <c r="I190" s="615"/>
      <c r="J190" s="4"/>
      <c r="K190" s="38"/>
      <c r="L190" s="516"/>
      <c r="M190" s="33"/>
      <c r="N190" s="155"/>
      <c r="O190" s="476"/>
      <c r="P190" s="2"/>
    </row>
    <row r="191" spans="1:16" s="113" customFormat="1" ht="32.25" customHeight="1" x14ac:dyDescent="0.4">
      <c r="A191" s="5"/>
      <c r="B191" s="152"/>
      <c r="C191" s="172"/>
      <c r="D191" s="155"/>
      <c r="E191" s="36"/>
      <c r="F191" s="34"/>
      <c r="G191" s="153">
        <f>SUM(G179:G189)</f>
        <v>1440000</v>
      </c>
      <c r="H191" s="605"/>
      <c r="I191" s="615"/>
      <c r="J191" s="4"/>
      <c r="K191" s="38"/>
      <c r="L191" s="516"/>
      <c r="M191" s="33"/>
      <c r="N191" s="155"/>
      <c r="O191" s="476"/>
      <c r="P191" s="2"/>
    </row>
    <row r="192" spans="1:16" s="113" customFormat="1" ht="32.25" customHeight="1" x14ac:dyDescent="0.4">
      <c r="A192" s="5"/>
      <c r="B192" s="152"/>
      <c r="C192" s="172"/>
      <c r="D192" s="155"/>
      <c r="E192" s="36"/>
      <c r="F192" s="34"/>
      <c r="G192" s="153"/>
      <c r="H192" s="605"/>
      <c r="I192" s="615"/>
      <c r="J192" s="4"/>
      <c r="K192" s="38"/>
      <c r="L192" s="516"/>
      <c r="M192" s="33"/>
      <c r="N192" s="155"/>
      <c r="O192" s="476"/>
      <c r="P192" s="2"/>
    </row>
    <row r="193" spans="1:16" s="113" customFormat="1" ht="32.25" customHeight="1" x14ac:dyDescent="0.4">
      <c r="A193" s="5"/>
      <c r="B193" s="152"/>
      <c r="C193" s="172"/>
      <c r="D193" s="155"/>
      <c r="E193" s="36"/>
      <c r="F193" s="34"/>
      <c r="G193" s="153"/>
      <c r="H193" s="605"/>
      <c r="I193" s="615"/>
      <c r="J193" s="4"/>
      <c r="K193" s="38"/>
      <c r="L193" s="516"/>
      <c r="M193" s="33"/>
      <c r="N193" s="155"/>
      <c r="O193" s="476"/>
      <c r="P193" s="2"/>
    </row>
    <row r="194" spans="1:16" s="113" customFormat="1" ht="32.25" customHeight="1" x14ac:dyDescent="0.4">
      <c r="A194" s="5"/>
      <c r="B194" s="152"/>
      <c r="C194" s="172"/>
      <c r="D194" s="155"/>
      <c r="E194" s="36"/>
      <c r="F194" s="34"/>
      <c r="G194" s="153"/>
      <c r="H194" s="605"/>
      <c r="I194" s="615"/>
      <c r="J194" s="4"/>
      <c r="K194" s="38"/>
      <c r="L194" s="516"/>
      <c r="M194" s="33"/>
      <c r="N194" s="155"/>
      <c r="O194" s="476"/>
      <c r="P194" s="2"/>
    </row>
    <row r="195" spans="1:16" s="113" customFormat="1" ht="32.25" customHeight="1" x14ac:dyDescent="0.4">
      <c r="A195" s="5"/>
      <c r="B195" s="152"/>
      <c r="C195" s="172"/>
      <c r="D195" s="155"/>
      <c r="E195" s="36"/>
      <c r="F195" s="34"/>
      <c r="G195" s="153"/>
      <c r="H195" s="605"/>
      <c r="I195" s="615"/>
      <c r="J195" s="4"/>
      <c r="K195" s="38"/>
      <c r="L195" s="516"/>
      <c r="M195" s="33"/>
      <c r="N195" s="155"/>
      <c r="O195" s="476"/>
      <c r="P195" s="2"/>
    </row>
    <row r="196" spans="1:16" s="113" customFormat="1" ht="32.25" customHeight="1" x14ac:dyDescent="0.4">
      <c r="A196" s="5"/>
      <c r="B196" s="152"/>
      <c r="C196" s="172"/>
      <c r="D196" s="155"/>
      <c r="E196" s="36"/>
      <c r="F196" s="34"/>
      <c r="G196" s="153"/>
      <c r="H196" s="605"/>
      <c r="I196" s="615"/>
      <c r="J196" s="4"/>
      <c r="K196" s="38"/>
      <c r="L196" s="516"/>
      <c r="M196" s="33"/>
      <c r="N196" s="155"/>
      <c r="O196" s="476"/>
      <c r="P196" s="2"/>
    </row>
    <row r="197" spans="1:16" s="113" customFormat="1" ht="32.25" customHeight="1" x14ac:dyDescent="0.4">
      <c r="A197" s="5"/>
      <c r="B197" s="152"/>
      <c r="C197" s="172"/>
      <c r="D197" s="155"/>
      <c r="E197" s="36"/>
      <c r="F197" s="34"/>
      <c r="G197" s="153"/>
      <c r="H197" s="605"/>
      <c r="I197" s="615"/>
      <c r="J197" s="4"/>
      <c r="K197" s="38"/>
      <c r="L197" s="516"/>
      <c r="M197" s="33"/>
      <c r="N197" s="155"/>
      <c r="O197" s="476"/>
      <c r="P197" s="2"/>
    </row>
    <row r="198" spans="1:16" s="113" customFormat="1" ht="32.25" customHeight="1" x14ac:dyDescent="0.4">
      <c r="A198" s="5"/>
      <c r="B198" s="152"/>
      <c r="C198" s="172"/>
      <c r="D198" s="155"/>
      <c r="E198" s="36"/>
      <c r="F198" s="34"/>
      <c r="G198" s="153"/>
      <c r="H198" s="605"/>
      <c r="I198" s="615"/>
      <c r="J198" s="4"/>
      <c r="K198" s="38"/>
      <c r="L198" s="516"/>
      <c r="M198" s="33"/>
      <c r="N198" s="155"/>
      <c r="O198" s="476"/>
      <c r="P198" s="2"/>
    </row>
    <row r="200" spans="1:16" ht="32.25" customHeight="1" x14ac:dyDescent="0.4">
      <c r="G200" s="113">
        <f>SUM(G170:G180)</f>
        <v>910000</v>
      </c>
    </row>
    <row r="201" spans="1:16" ht="32.25" customHeight="1" x14ac:dyDescent="0.4">
      <c r="F201" s="41" t="s">
        <v>3149</v>
      </c>
      <c r="G201" s="113">
        <f>G200*1.05</f>
        <v>955500</v>
      </c>
    </row>
  </sheetData>
  <autoFilter ref="A2:M189" xr:uid="{00000000-0009-0000-0000-000004000000}">
    <filterColumn colId="2">
      <filters>
        <filter val="立式電動"/>
      </filters>
    </filterColumn>
    <sortState xmlns:xlrd2="http://schemas.microsoft.com/office/spreadsheetml/2017/richdata2" ref="A3:M145">
      <sortCondition ref="A2:A138"/>
    </sortState>
  </autoFilter>
  <mergeCells count="1">
    <mergeCell ref="A1:N1"/>
  </mergeCells>
  <phoneticPr fontId="2" type="noConversion"/>
  <conditionalFormatting sqref="C120:G120">
    <cfRule type="expression" priority="3">
      <formula>C$2&lt;&gt;""</formula>
    </cfRule>
  </conditionalFormatting>
  <conditionalFormatting sqref="C139:G139">
    <cfRule type="expression" priority="1">
      <formula>C$2&lt;&gt;""</formula>
    </cfRule>
  </conditionalFormatting>
  <conditionalFormatting sqref="K120:N120">
    <cfRule type="expression" priority="2">
      <formula>K$2&lt;&gt;""</formula>
    </cfRule>
  </conditionalFormatting>
  <conditionalFormatting sqref="L138">
    <cfRule type="expression" priority="4">
      <formula>L$2&lt;&gt;""</formula>
    </cfRule>
  </conditionalFormatting>
  <pageMargins left="0.19685039370078741" right="0.19685039370078741" top="0.39370078740157483" bottom="0.39370078740157483" header="0.39370078740157483" footer="0.39370078740157483"/>
  <pageSetup paperSize="9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FFFF00"/>
  </sheetPr>
  <dimension ref="A1:P419"/>
  <sheetViews>
    <sheetView zoomScale="80" zoomScaleNormal="80" workbookViewId="0">
      <pane xSplit="4" ySplit="2" topLeftCell="E237" activePane="bottomRight" state="frozen"/>
      <selection activeCell="H20" sqref="H20"/>
      <selection pane="topRight" activeCell="H20" sqref="H20"/>
      <selection pane="bottomLeft" activeCell="H20" sqref="H20"/>
      <selection pane="bottomRight" activeCell="A386" sqref="A386:O387"/>
    </sheetView>
  </sheetViews>
  <sheetFormatPr defaultColWidth="9" defaultRowHeight="33" customHeight="1" x14ac:dyDescent="0.4"/>
  <cols>
    <col min="1" max="1" width="4" style="51" customWidth="1"/>
    <col min="2" max="2" width="7.36328125" style="72" customWidth="1"/>
    <col min="3" max="3" width="9.36328125" style="73" customWidth="1"/>
    <col min="4" max="4" width="11.453125" style="72" customWidth="1"/>
    <col min="5" max="5" width="11.08984375" style="72" customWidth="1"/>
    <col min="6" max="6" width="24.7265625" style="74" customWidth="1"/>
    <col min="7" max="7" width="12.453125" style="72" customWidth="1"/>
    <col min="8" max="8" width="10.26953125" style="75" bestFit="1" customWidth="1"/>
    <col min="9" max="9" width="10.26953125" style="76" bestFit="1" customWidth="1"/>
    <col min="10" max="10" width="16.90625" style="77" customWidth="1"/>
    <col min="11" max="11" width="6.26953125" style="78" customWidth="1"/>
    <col min="12" max="12" width="7.26953125" style="78" customWidth="1"/>
    <col min="13" max="13" width="29.453125" style="79" customWidth="1"/>
    <col min="14" max="14" width="19.7265625" style="51" customWidth="1"/>
    <col min="15" max="16384" width="9" style="51"/>
  </cols>
  <sheetData>
    <row r="1" spans="1:14" s="45" customFormat="1" ht="33" customHeight="1" x14ac:dyDescent="0.4">
      <c r="A1" s="799" t="s">
        <v>90</v>
      </c>
      <c r="B1" s="799"/>
      <c r="C1" s="799"/>
      <c r="D1" s="799"/>
      <c r="E1" s="799"/>
      <c r="F1" s="799"/>
      <c r="G1" s="799"/>
      <c r="H1" s="799"/>
      <c r="I1" s="799"/>
      <c r="J1" s="799"/>
      <c r="K1" s="799"/>
      <c r="L1" s="799"/>
      <c r="M1" s="799"/>
    </row>
    <row r="2" spans="1:14" s="106" customFormat="1" ht="33" customHeight="1" x14ac:dyDescent="0.4">
      <c r="A2" s="268" t="s">
        <v>1</v>
      </c>
      <c r="B2" s="268" t="s">
        <v>2</v>
      </c>
      <c r="C2" s="178" t="s">
        <v>34</v>
      </c>
      <c r="D2" s="269" t="s">
        <v>146</v>
      </c>
      <c r="E2" s="268" t="s">
        <v>102</v>
      </c>
      <c r="F2" s="269" t="s">
        <v>114</v>
      </c>
      <c r="G2" s="270" t="s">
        <v>159</v>
      </c>
      <c r="H2" s="271" t="s">
        <v>3</v>
      </c>
      <c r="I2" s="272" t="s">
        <v>35</v>
      </c>
      <c r="J2" s="273" t="s">
        <v>36</v>
      </c>
      <c r="K2" s="274" t="s">
        <v>5</v>
      </c>
      <c r="L2" s="274" t="s">
        <v>6</v>
      </c>
      <c r="M2" s="617" t="s">
        <v>7</v>
      </c>
      <c r="N2" s="663"/>
    </row>
    <row r="3" spans="1:14" ht="33" customHeight="1" x14ac:dyDescent="0.4">
      <c r="A3" s="99">
        <v>109</v>
      </c>
      <c r="B3" s="100" t="s">
        <v>8</v>
      </c>
      <c r="C3" s="107" t="s">
        <v>265</v>
      </c>
      <c r="D3" s="101" t="s">
        <v>9</v>
      </c>
      <c r="E3" s="99" t="s">
        <v>213</v>
      </c>
      <c r="F3" s="102" t="s">
        <v>218</v>
      </c>
      <c r="G3" s="103" t="s">
        <v>214</v>
      </c>
      <c r="H3" s="112">
        <v>570000</v>
      </c>
      <c r="I3" s="112"/>
      <c r="J3" s="112"/>
      <c r="K3" s="104">
        <v>2.5</v>
      </c>
      <c r="L3" s="105">
        <v>4000</v>
      </c>
      <c r="M3" s="618">
        <v>2013</v>
      </c>
      <c r="N3" s="80"/>
    </row>
    <row r="4" spans="1:14" ht="33" customHeight="1" x14ac:dyDescent="0.4">
      <c r="A4" s="252" t="s">
        <v>219</v>
      </c>
      <c r="B4" s="253"/>
      <c r="C4" s="254"/>
      <c r="D4" s="252"/>
      <c r="E4" s="252"/>
      <c r="F4" s="252"/>
      <c r="G4" s="252"/>
      <c r="H4" s="254"/>
      <c r="I4" s="255"/>
      <c r="J4" s="254"/>
      <c r="K4" s="256"/>
      <c r="L4" s="257"/>
      <c r="M4" s="619"/>
      <c r="N4" s="80"/>
    </row>
    <row r="5" spans="1:14" s="195" customFormat="1" ht="32.25" customHeight="1" x14ac:dyDescent="0.4">
      <c r="A5" s="278">
        <v>8</v>
      </c>
      <c r="B5" s="280"/>
      <c r="C5" s="281" t="s">
        <v>37</v>
      </c>
      <c r="D5" s="280" t="s">
        <v>14</v>
      </c>
      <c r="E5" s="280" t="s">
        <v>105</v>
      </c>
      <c r="F5" s="285" t="s">
        <v>115</v>
      </c>
      <c r="G5" s="280"/>
      <c r="H5" s="286">
        <v>150000</v>
      </c>
      <c r="I5" s="289">
        <v>258000</v>
      </c>
      <c r="J5" s="291" t="s">
        <v>38</v>
      </c>
      <c r="K5" s="292">
        <v>2.5</v>
      </c>
      <c r="L5" s="294">
        <v>4000</v>
      </c>
      <c r="M5" s="620" t="s">
        <v>39</v>
      </c>
      <c r="N5" s="252"/>
    </row>
    <row r="6" spans="1:14" s="205" customFormat="1" ht="33" customHeight="1" x14ac:dyDescent="0.4">
      <c r="A6" s="196">
        <v>10</v>
      </c>
      <c r="B6" s="196"/>
      <c r="C6" s="193" t="s">
        <v>40</v>
      </c>
      <c r="D6" s="196" t="s">
        <v>11</v>
      </c>
      <c r="E6" s="196" t="s">
        <v>105</v>
      </c>
      <c r="F6" s="197" t="s">
        <v>116</v>
      </c>
      <c r="G6" s="198"/>
      <c r="H6" s="199">
        <v>180000</v>
      </c>
      <c r="I6" s="200">
        <v>148000</v>
      </c>
      <c r="J6" s="201" t="s">
        <v>41</v>
      </c>
      <c r="K6" s="202">
        <v>1.5</v>
      </c>
      <c r="L6" s="203">
        <v>3000</v>
      </c>
      <c r="M6" s="621"/>
      <c r="N6" s="664"/>
    </row>
    <row r="7" spans="1:14" s="208" customFormat="1" ht="33" customHeight="1" x14ac:dyDescent="0.4">
      <c r="A7" s="196">
        <v>21</v>
      </c>
      <c r="B7" s="196" t="s">
        <v>111</v>
      </c>
      <c r="C7" s="193" t="s">
        <v>42</v>
      </c>
      <c r="D7" s="196" t="s">
        <v>11</v>
      </c>
      <c r="E7" s="196" t="s">
        <v>104</v>
      </c>
      <c r="F7" s="197" t="s">
        <v>117</v>
      </c>
      <c r="G7" s="196" t="s">
        <v>24</v>
      </c>
      <c r="H7" s="199"/>
      <c r="I7" s="200">
        <v>168000</v>
      </c>
      <c r="J7" s="201" t="s">
        <v>43</v>
      </c>
      <c r="K7" s="206">
        <v>1.5</v>
      </c>
      <c r="L7" s="207">
        <v>5000</v>
      </c>
      <c r="M7" s="621"/>
      <c r="N7" s="225"/>
    </row>
    <row r="8" spans="1:14" s="208" customFormat="1" ht="33" customHeight="1" x14ac:dyDescent="0.4">
      <c r="A8" s="196">
        <v>29</v>
      </c>
      <c r="B8" s="196" t="s">
        <v>111</v>
      </c>
      <c r="C8" s="193" t="s">
        <v>44</v>
      </c>
      <c r="D8" s="196" t="s">
        <v>11</v>
      </c>
      <c r="E8" s="196" t="s">
        <v>105</v>
      </c>
      <c r="F8" s="197" t="s">
        <v>220</v>
      </c>
      <c r="G8" s="196" t="s">
        <v>45</v>
      </c>
      <c r="H8" s="199">
        <v>108750</v>
      </c>
      <c r="I8" s="200">
        <v>198000</v>
      </c>
      <c r="J8" s="201" t="s">
        <v>46</v>
      </c>
      <c r="K8" s="209">
        <v>2</v>
      </c>
      <c r="L8" s="207">
        <v>3000</v>
      </c>
      <c r="M8" s="622" t="s">
        <v>47</v>
      </c>
      <c r="N8" s="225"/>
    </row>
    <row r="9" spans="1:14" s="208" customFormat="1" ht="33" customHeight="1" x14ac:dyDescent="0.4">
      <c r="A9" s="196">
        <v>24</v>
      </c>
      <c r="B9" s="196" t="s">
        <v>111</v>
      </c>
      <c r="C9" s="193" t="s">
        <v>44</v>
      </c>
      <c r="D9" s="196" t="s">
        <v>11</v>
      </c>
      <c r="E9" s="196" t="s">
        <v>105</v>
      </c>
      <c r="F9" s="197" t="s">
        <v>221</v>
      </c>
      <c r="G9" s="196" t="s">
        <v>48</v>
      </c>
      <c r="H9" s="199">
        <v>110000</v>
      </c>
      <c r="I9" s="200">
        <v>198000</v>
      </c>
      <c r="J9" s="201" t="s">
        <v>927</v>
      </c>
      <c r="K9" s="209">
        <v>1.8</v>
      </c>
      <c r="L9" s="207">
        <v>3000</v>
      </c>
      <c r="M9" s="622" t="s">
        <v>49</v>
      </c>
      <c r="N9" s="225"/>
    </row>
    <row r="10" spans="1:14" s="205" customFormat="1" ht="33" customHeight="1" x14ac:dyDescent="0.4">
      <c r="A10" s="196">
        <v>23</v>
      </c>
      <c r="B10" s="196" t="s">
        <v>111</v>
      </c>
      <c r="C10" s="193" t="s">
        <v>50</v>
      </c>
      <c r="D10" s="196" t="s">
        <v>11</v>
      </c>
      <c r="E10" s="196" t="s">
        <v>105</v>
      </c>
      <c r="F10" s="197" t="s">
        <v>118</v>
      </c>
      <c r="G10" s="196" t="s">
        <v>45</v>
      </c>
      <c r="H10" s="210">
        <v>105000</v>
      </c>
      <c r="I10" s="211">
        <v>225000</v>
      </c>
      <c r="J10" s="201" t="s">
        <v>51</v>
      </c>
      <c r="K10" s="206">
        <v>1.5</v>
      </c>
      <c r="L10" s="207">
        <v>5500</v>
      </c>
      <c r="M10" s="623" t="s">
        <v>52</v>
      </c>
      <c r="N10" s="664"/>
    </row>
    <row r="11" spans="1:14" s="205" customFormat="1" ht="33" customHeight="1" x14ac:dyDescent="0.4">
      <c r="A11" s="196">
        <v>31</v>
      </c>
      <c r="B11" s="196" t="s">
        <v>1516</v>
      </c>
      <c r="C11" s="193" t="s">
        <v>53</v>
      </c>
      <c r="D11" s="196" t="s">
        <v>11</v>
      </c>
      <c r="E11" s="196" t="s">
        <v>105</v>
      </c>
      <c r="F11" s="197" t="s">
        <v>119</v>
      </c>
      <c r="G11" s="196" t="s">
        <v>1517</v>
      </c>
      <c r="H11" s="199">
        <v>90000</v>
      </c>
      <c r="I11" s="200">
        <v>180000</v>
      </c>
      <c r="J11" s="201" t="s">
        <v>1519</v>
      </c>
      <c r="K11" s="206">
        <v>1</v>
      </c>
      <c r="L11" s="207">
        <v>3000</v>
      </c>
      <c r="M11" s="621"/>
      <c r="N11" s="664"/>
    </row>
    <row r="12" spans="1:14" s="208" customFormat="1" ht="33" customHeight="1" x14ac:dyDescent="0.4">
      <c r="A12" s="196">
        <v>27</v>
      </c>
      <c r="B12" s="196" t="s">
        <v>54</v>
      </c>
      <c r="C12" s="193" t="s">
        <v>55</v>
      </c>
      <c r="D12" s="213" t="s">
        <v>56</v>
      </c>
      <c r="E12" s="213"/>
      <c r="F12" s="197" t="s">
        <v>56</v>
      </c>
      <c r="G12" s="196" t="s">
        <v>57</v>
      </c>
      <c r="H12" s="199">
        <v>2800</v>
      </c>
      <c r="I12" s="200">
        <v>7000</v>
      </c>
      <c r="J12" s="201" t="s">
        <v>58</v>
      </c>
      <c r="K12" s="206">
        <v>1</v>
      </c>
      <c r="L12" s="214">
        <v>1500</v>
      </c>
      <c r="M12" s="623"/>
      <c r="N12" s="225"/>
    </row>
    <row r="13" spans="1:14" s="208" customFormat="1" ht="33" customHeight="1" x14ac:dyDescent="0.4">
      <c r="A13" s="196">
        <v>28</v>
      </c>
      <c r="B13" s="196" t="s">
        <v>59</v>
      </c>
      <c r="C13" s="193" t="s">
        <v>60</v>
      </c>
      <c r="D13" s="213" t="s">
        <v>32</v>
      </c>
      <c r="E13" s="213"/>
      <c r="F13" s="197" t="s">
        <v>32</v>
      </c>
      <c r="G13" s="196" t="s">
        <v>61</v>
      </c>
      <c r="H13" s="199">
        <v>6000</v>
      </c>
      <c r="I13" s="200">
        <v>16000</v>
      </c>
      <c r="J13" s="215" t="s">
        <v>62</v>
      </c>
      <c r="K13" s="206">
        <v>1</v>
      </c>
      <c r="L13" s="207">
        <v>2500</v>
      </c>
      <c r="M13" s="623"/>
      <c r="N13" s="225"/>
    </row>
    <row r="14" spans="1:14" s="208" customFormat="1" ht="33" customHeight="1" x14ac:dyDescent="0.4">
      <c r="A14" s="196">
        <v>32</v>
      </c>
      <c r="B14" s="196" t="s">
        <v>37</v>
      </c>
      <c r="C14" s="193" t="s">
        <v>63</v>
      </c>
      <c r="D14" s="196" t="s">
        <v>9</v>
      </c>
      <c r="E14" s="196" t="s">
        <v>108</v>
      </c>
      <c r="F14" s="197" t="s">
        <v>120</v>
      </c>
      <c r="G14" s="196" t="s">
        <v>64</v>
      </c>
      <c r="H14" s="199">
        <v>90000</v>
      </c>
      <c r="I14" s="200">
        <v>150000</v>
      </c>
      <c r="J14" s="201" t="s">
        <v>65</v>
      </c>
      <c r="K14" s="206">
        <v>1.5</v>
      </c>
      <c r="L14" s="207"/>
      <c r="M14" s="623" t="s">
        <v>66</v>
      </c>
      <c r="N14" s="225"/>
    </row>
    <row r="15" spans="1:14" s="208" customFormat="1" ht="33" customHeight="1" x14ac:dyDescent="0.4">
      <c r="A15" s="196">
        <v>6</v>
      </c>
      <c r="B15" s="196"/>
      <c r="C15" s="193" t="s">
        <v>67</v>
      </c>
      <c r="D15" s="196" t="s">
        <v>11</v>
      </c>
      <c r="E15" s="196" t="s">
        <v>105</v>
      </c>
      <c r="F15" s="197" t="s">
        <v>121</v>
      </c>
      <c r="G15" s="196"/>
      <c r="H15" s="199">
        <v>110000</v>
      </c>
      <c r="I15" s="200">
        <v>220000</v>
      </c>
      <c r="J15" s="201" t="s">
        <v>68</v>
      </c>
      <c r="K15" s="202">
        <v>1.3</v>
      </c>
      <c r="L15" s="203">
        <v>3000</v>
      </c>
      <c r="M15" s="623" t="s">
        <v>69</v>
      </c>
      <c r="N15" s="225"/>
    </row>
    <row r="16" spans="1:14" s="208" customFormat="1" ht="33" customHeight="1" x14ac:dyDescent="0.4">
      <c r="A16" s="196">
        <v>40</v>
      </c>
      <c r="B16" s="196" t="s">
        <v>8</v>
      </c>
      <c r="C16" s="193" t="s">
        <v>70</v>
      </c>
      <c r="D16" s="196" t="s">
        <v>11</v>
      </c>
      <c r="E16" s="196" t="s">
        <v>105</v>
      </c>
      <c r="F16" s="197" t="s">
        <v>122</v>
      </c>
      <c r="G16" s="216">
        <v>41146</v>
      </c>
      <c r="H16" s="199">
        <v>60000</v>
      </c>
      <c r="I16" s="200">
        <v>240000</v>
      </c>
      <c r="J16" s="215" t="s">
        <v>71</v>
      </c>
      <c r="K16" s="206">
        <v>2</v>
      </c>
      <c r="L16" s="207">
        <v>3000</v>
      </c>
      <c r="M16" s="278" t="s">
        <v>72</v>
      </c>
      <c r="N16" s="225"/>
    </row>
    <row r="17" spans="1:14" s="205" customFormat="1" ht="33" customHeight="1" x14ac:dyDescent="0.4">
      <c r="A17" s="196">
        <v>36</v>
      </c>
      <c r="B17" s="196" t="s">
        <v>111</v>
      </c>
      <c r="C17" s="193" t="s">
        <v>73</v>
      </c>
      <c r="D17" s="196" t="s">
        <v>11</v>
      </c>
      <c r="E17" s="196" t="s">
        <v>104</v>
      </c>
      <c r="F17" s="197" t="s">
        <v>123</v>
      </c>
      <c r="G17" s="216" t="s">
        <v>28</v>
      </c>
      <c r="H17" s="199">
        <v>150000</v>
      </c>
      <c r="I17" s="200">
        <v>180000</v>
      </c>
      <c r="J17" s="215" t="s">
        <v>74</v>
      </c>
      <c r="K17" s="206">
        <v>1.5</v>
      </c>
      <c r="L17" s="207">
        <v>5000</v>
      </c>
      <c r="M17" s="621" t="s">
        <v>52</v>
      </c>
      <c r="N17" s="664"/>
    </row>
    <row r="18" spans="1:14" s="205" customFormat="1" ht="33" customHeight="1" x14ac:dyDescent="0.4">
      <c r="A18" s="196">
        <v>25</v>
      </c>
      <c r="B18" s="196" t="s">
        <v>111</v>
      </c>
      <c r="C18" s="193" t="s">
        <v>75</v>
      </c>
      <c r="D18" s="196" t="s">
        <v>11</v>
      </c>
      <c r="E18" s="196" t="s">
        <v>105</v>
      </c>
      <c r="F18" s="197" t="s">
        <v>124</v>
      </c>
      <c r="G18" s="196" t="s">
        <v>45</v>
      </c>
      <c r="H18" s="199">
        <v>105000</v>
      </c>
      <c r="I18" s="200">
        <v>170000</v>
      </c>
      <c r="J18" s="201" t="s">
        <v>76</v>
      </c>
      <c r="K18" s="206">
        <v>1.5</v>
      </c>
      <c r="L18" s="214">
        <v>3000</v>
      </c>
      <c r="M18" s="623" t="s">
        <v>77</v>
      </c>
      <c r="N18" s="664"/>
    </row>
    <row r="19" spans="1:14" s="208" customFormat="1" ht="33" customHeight="1" x14ac:dyDescent="0.4">
      <c r="A19" s="196">
        <v>63</v>
      </c>
      <c r="B19" s="196" t="s">
        <v>78</v>
      </c>
      <c r="C19" s="193" t="s">
        <v>44</v>
      </c>
      <c r="D19" s="196" t="s">
        <v>11</v>
      </c>
      <c r="E19" s="196" t="s">
        <v>105</v>
      </c>
      <c r="F19" s="197" t="s">
        <v>125</v>
      </c>
      <c r="G19" s="216">
        <v>41407</v>
      </c>
      <c r="H19" s="199">
        <v>90000</v>
      </c>
      <c r="I19" s="200">
        <v>206000</v>
      </c>
      <c r="J19" s="215" t="s">
        <v>79</v>
      </c>
      <c r="K19" s="217">
        <v>1.8</v>
      </c>
      <c r="L19" s="218">
        <v>5000</v>
      </c>
      <c r="M19" s="621" t="s">
        <v>100</v>
      </c>
      <c r="N19" s="225"/>
    </row>
    <row r="20" spans="1:14" s="194" customFormat="1" ht="33" customHeight="1" x14ac:dyDescent="0.4">
      <c r="A20" s="196">
        <v>57</v>
      </c>
      <c r="B20" s="196" t="s">
        <v>8</v>
      </c>
      <c r="C20" s="193" t="s">
        <v>18</v>
      </c>
      <c r="D20" s="196" t="s">
        <v>11</v>
      </c>
      <c r="E20" s="196" t="s">
        <v>104</v>
      </c>
      <c r="F20" s="197" t="s">
        <v>223</v>
      </c>
      <c r="G20" s="216">
        <v>41391</v>
      </c>
      <c r="H20" s="199">
        <v>80000</v>
      </c>
      <c r="I20" s="200">
        <v>144762</v>
      </c>
      <c r="J20" s="215" t="s">
        <v>91</v>
      </c>
      <c r="K20" s="217">
        <v>1</v>
      </c>
      <c r="L20" s="218">
        <v>3000</v>
      </c>
      <c r="M20" s="623"/>
      <c r="N20" s="240"/>
    </row>
    <row r="21" spans="1:14" s="194" customFormat="1" ht="33" customHeight="1" x14ac:dyDescent="0.4">
      <c r="A21" s="196">
        <v>26</v>
      </c>
      <c r="B21" s="196" t="s">
        <v>2964</v>
      </c>
      <c r="C21" s="193" t="s">
        <v>82</v>
      </c>
      <c r="D21" s="196" t="s">
        <v>11</v>
      </c>
      <c r="E21" s="196" t="s">
        <v>104</v>
      </c>
      <c r="F21" s="197" t="s">
        <v>224</v>
      </c>
      <c r="G21" s="196" t="s">
        <v>45</v>
      </c>
      <c r="H21" s="199">
        <v>109250</v>
      </c>
      <c r="I21" s="200">
        <v>168000</v>
      </c>
      <c r="J21" s="215" t="s">
        <v>83</v>
      </c>
      <c r="K21" s="217">
        <v>1.3</v>
      </c>
      <c r="L21" s="218">
        <v>5000</v>
      </c>
      <c r="M21" s="623" t="s">
        <v>84</v>
      </c>
      <c r="N21" s="240" t="s">
        <v>2969</v>
      </c>
    </row>
    <row r="22" spans="1:14" s="194" customFormat="1" ht="33" customHeight="1" x14ac:dyDescent="0.4">
      <c r="A22" s="196">
        <v>50</v>
      </c>
      <c r="B22" s="196" t="s">
        <v>8</v>
      </c>
      <c r="C22" s="193" t="s">
        <v>93</v>
      </c>
      <c r="D22" s="196" t="s">
        <v>9</v>
      </c>
      <c r="E22" s="196" t="s">
        <v>105</v>
      </c>
      <c r="F22" s="197" t="s">
        <v>126</v>
      </c>
      <c r="G22" s="216">
        <v>41363</v>
      </c>
      <c r="H22" s="199">
        <v>580000</v>
      </c>
      <c r="I22" s="200">
        <v>652000</v>
      </c>
      <c r="J22" s="215" t="s">
        <v>92</v>
      </c>
      <c r="K22" s="217">
        <v>3.5</v>
      </c>
      <c r="L22" s="218">
        <v>5000</v>
      </c>
      <c r="M22" s="621" t="s">
        <v>29</v>
      </c>
      <c r="N22" s="240"/>
    </row>
    <row r="23" spans="1:14" s="194" customFormat="1" ht="33" customHeight="1" x14ac:dyDescent="0.4">
      <c r="A23" s="196">
        <v>66</v>
      </c>
      <c r="B23" s="196" t="s">
        <v>97</v>
      </c>
      <c r="C23" s="219" t="s">
        <v>33</v>
      </c>
      <c r="D23" s="196" t="s">
        <v>14</v>
      </c>
      <c r="E23" s="196" t="s">
        <v>104</v>
      </c>
      <c r="F23" s="197" t="s">
        <v>127</v>
      </c>
      <c r="G23" s="216">
        <v>41438</v>
      </c>
      <c r="H23" s="199">
        <v>255000</v>
      </c>
      <c r="I23" s="200">
        <v>320000</v>
      </c>
      <c r="J23" s="215" t="s">
        <v>94</v>
      </c>
      <c r="K23" s="217">
        <v>2</v>
      </c>
      <c r="L23" s="218">
        <v>4000</v>
      </c>
      <c r="M23" s="623" t="s">
        <v>25</v>
      </c>
      <c r="N23" s="240"/>
    </row>
    <row r="24" spans="1:14" s="208" customFormat="1" ht="33" customHeight="1" x14ac:dyDescent="0.4">
      <c r="A24" s="192">
        <v>42</v>
      </c>
      <c r="B24" s="196" t="s">
        <v>111</v>
      </c>
      <c r="C24" s="193" t="s">
        <v>18</v>
      </c>
      <c r="D24" s="196" t="s">
        <v>11</v>
      </c>
      <c r="E24" s="196" t="s">
        <v>104</v>
      </c>
      <c r="F24" s="197" t="s">
        <v>225</v>
      </c>
      <c r="G24" s="216">
        <v>41150</v>
      </c>
      <c r="H24" s="199">
        <v>90000</v>
      </c>
      <c r="I24" s="200">
        <v>210000</v>
      </c>
      <c r="J24" s="215" t="s">
        <v>95</v>
      </c>
      <c r="K24" s="217">
        <v>1.5</v>
      </c>
      <c r="L24" s="218">
        <v>5000</v>
      </c>
      <c r="M24" s="621" t="s">
        <v>98</v>
      </c>
      <c r="N24" s="225"/>
    </row>
    <row r="25" spans="1:14" s="208" customFormat="1" ht="33" customHeight="1" x14ac:dyDescent="0.4">
      <c r="A25" s="196">
        <v>77</v>
      </c>
      <c r="B25" s="204" t="s">
        <v>8</v>
      </c>
      <c r="C25" s="193" t="s">
        <v>436</v>
      </c>
      <c r="D25" s="213" t="s">
        <v>11</v>
      </c>
      <c r="E25" s="196" t="s">
        <v>105</v>
      </c>
      <c r="F25" s="197" t="s">
        <v>137</v>
      </c>
      <c r="G25" s="216">
        <v>41579</v>
      </c>
      <c r="H25" s="199">
        <v>105000</v>
      </c>
      <c r="I25" s="200">
        <v>170000</v>
      </c>
      <c r="J25" s="215" t="s">
        <v>153</v>
      </c>
      <c r="K25" s="204">
        <v>1.4</v>
      </c>
      <c r="L25" s="220">
        <v>3000</v>
      </c>
      <c r="M25" s="623" t="s">
        <v>136</v>
      </c>
      <c r="N25" s="225"/>
    </row>
    <row r="26" spans="1:14" s="194" customFormat="1" ht="33" customHeight="1" x14ac:dyDescent="0.4">
      <c r="A26" s="221">
        <v>58</v>
      </c>
      <c r="B26" s="204" t="s">
        <v>8</v>
      </c>
      <c r="C26" s="193" t="s">
        <v>138</v>
      </c>
      <c r="D26" s="213" t="s">
        <v>11</v>
      </c>
      <c r="E26" s="196" t="s">
        <v>108</v>
      </c>
      <c r="F26" s="197" t="s">
        <v>134</v>
      </c>
      <c r="G26" s="216">
        <v>41390</v>
      </c>
      <c r="H26" s="199">
        <v>150000</v>
      </c>
      <c r="I26" s="200">
        <v>230000</v>
      </c>
      <c r="J26" s="215" t="s">
        <v>155</v>
      </c>
      <c r="K26" s="222">
        <v>0.9</v>
      </c>
      <c r="L26" s="220">
        <v>4500</v>
      </c>
      <c r="M26" s="623"/>
      <c r="N26" s="240"/>
    </row>
    <row r="27" spans="1:14" s="194" customFormat="1" ht="33" customHeight="1" x14ac:dyDescent="0.4">
      <c r="A27" s="196">
        <v>68</v>
      </c>
      <c r="B27" s="204" t="s">
        <v>78</v>
      </c>
      <c r="C27" s="193" t="s">
        <v>154</v>
      </c>
      <c r="D27" s="213" t="s">
        <v>11</v>
      </c>
      <c r="E27" s="196" t="s">
        <v>105</v>
      </c>
      <c r="F27" s="197" t="s">
        <v>3100</v>
      </c>
      <c r="G27" s="216">
        <v>41596</v>
      </c>
      <c r="H27" s="199">
        <v>100000</v>
      </c>
      <c r="I27" s="200">
        <v>162000</v>
      </c>
      <c r="J27" s="215" t="s">
        <v>140</v>
      </c>
      <c r="K27" s="222">
        <v>1.5</v>
      </c>
      <c r="L27" s="220">
        <v>4000</v>
      </c>
      <c r="M27" s="623" t="s">
        <v>226</v>
      </c>
      <c r="N27" s="240"/>
    </row>
    <row r="28" spans="1:14" s="194" customFormat="1" ht="33" customHeight="1" x14ac:dyDescent="0.4">
      <c r="A28" s="196">
        <v>41</v>
      </c>
      <c r="B28" s="204" t="s">
        <v>111</v>
      </c>
      <c r="C28" s="193" t="s">
        <v>139</v>
      </c>
      <c r="D28" s="213" t="s">
        <v>11</v>
      </c>
      <c r="E28" s="196" t="s">
        <v>104</v>
      </c>
      <c r="F28" s="197" t="s">
        <v>227</v>
      </c>
      <c r="G28" s="216">
        <v>41150</v>
      </c>
      <c r="H28" s="199">
        <v>90000</v>
      </c>
      <c r="I28" s="200">
        <v>198000</v>
      </c>
      <c r="J28" s="215" t="s">
        <v>156</v>
      </c>
      <c r="K28" s="222">
        <v>1.5</v>
      </c>
      <c r="L28" s="220">
        <v>5500</v>
      </c>
      <c r="M28" s="623"/>
      <c r="N28" s="240"/>
    </row>
    <row r="29" spans="1:14" s="208" customFormat="1" ht="38.5" customHeight="1" x14ac:dyDescent="0.4">
      <c r="A29" s="196">
        <v>83</v>
      </c>
      <c r="B29" s="204" t="s">
        <v>8</v>
      </c>
      <c r="C29" s="215" t="s">
        <v>160</v>
      </c>
      <c r="D29" s="213" t="s">
        <v>11</v>
      </c>
      <c r="E29" s="196" t="s">
        <v>105</v>
      </c>
      <c r="F29" s="197" t="s">
        <v>144</v>
      </c>
      <c r="G29" s="216">
        <v>41606</v>
      </c>
      <c r="H29" s="199">
        <v>80000</v>
      </c>
      <c r="I29" s="200">
        <v>160000</v>
      </c>
      <c r="J29" s="215" t="s">
        <v>161</v>
      </c>
      <c r="K29" s="206">
        <v>0</v>
      </c>
      <c r="L29" s="220">
        <v>3000</v>
      </c>
      <c r="M29" s="624" t="s">
        <v>162</v>
      </c>
      <c r="N29" s="240"/>
    </row>
    <row r="30" spans="1:14" s="208" customFormat="1" ht="38.5" customHeight="1" x14ac:dyDescent="0.4">
      <c r="A30" s="196">
        <v>84</v>
      </c>
      <c r="B30" s="204" t="s">
        <v>8</v>
      </c>
      <c r="C30" s="215" t="s">
        <v>151</v>
      </c>
      <c r="D30" s="213" t="s">
        <v>11</v>
      </c>
      <c r="E30" s="196" t="s">
        <v>105</v>
      </c>
      <c r="F30" s="197" t="s">
        <v>145</v>
      </c>
      <c r="G30" s="216">
        <v>41606</v>
      </c>
      <c r="H30" s="199">
        <v>85000</v>
      </c>
      <c r="I30" s="200">
        <v>160000</v>
      </c>
      <c r="J30" s="215" t="s">
        <v>164</v>
      </c>
      <c r="K30" s="206">
        <v>1.5</v>
      </c>
      <c r="L30" s="220">
        <v>3000</v>
      </c>
      <c r="M30" s="623" t="s">
        <v>150</v>
      </c>
      <c r="N30" s="240"/>
    </row>
    <row r="31" spans="1:14" s="208" customFormat="1" ht="38.5" customHeight="1" x14ac:dyDescent="0.4">
      <c r="A31" s="192">
        <v>33</v>
      </c>
      <c r="B31" s="196" t="s">
        <v>111</v>
      </c>
      <c r="C31" s="193" t="s">
        <v>163</v>
      </c>
      <c r="D31" s="213" t="s">
        <v>11</v>
      </c>
      <c r="E31" s="196" t="s">
        <v>105</v>
      </c>
      <c r="F31" s="223" t="s">
        <v>228</v>
      </c>
      <c r="G31" s="216" t="s">
        <v>28</v>
      </c>
      <c r="H31" s="199">
        <v>170000</v>
      </c>
      <c r="I31" s="200">
        <v>150000</v>
      </c>
      <c r="J31" s="215" t="s">
        <v>168</v>
      </c>
      <c r="K31" s="222">
        <v>1.3</v>
      </c>
      <c r="L31" s="220">
        <v>3000</v>
      </c>
      <c r="M31" s="625" t="s">
        <v>167</v>
      </c>
      <c r="N31" s="240"/>
    </row>
    <row r="32" spans="1:14" s="194" customFormat="1" ht="33" customHeight="1" x14ac:dyDescent="0.4">
      <c r="A32" s="181">
        <v>14</v>
      </c>
      <c r="B32" s="182" t="s">
        <v>8</v>
      </c>
      <c r="C32" s="183" t="s">
        <v>417</v>
      </c>
      <c r="D32" s="183" t="s">
        <v>16</v>
      </c>
      <c r="E32" s="184"/>
      <c r="F32" s="184" t="s">
        <v>16</v>
      </c>
      <c r="G32" s="185"/>
      <c r="H32" s="185">
        <v>130000</v>
      </c>
      <c r="I32" s="383">
        <v>170000</v>
      </c>
      <c r="J32" s="183" t="s">
        <v>418</v>
      </c>
      <c r="K32" s="186"/>
      <c r="L32" s="187"/>
      <c r="M32" s="626"/>
      <c r="N32" s="240"/>
    </row>
    <row r="33" spans="1:15" s="208" customFormat="1" ht="32.25" customHeight="1" x14ac:dyDescent="0.4">
      <c r="A33" s="196">
        <v>67</v>
      </c>
      <c r="B33" s="204" t="s">
        <v>78</v>
      </c>
      <c r="C33" s="283" t="s">
        <v>178</v>
      </c>
      <c r="D33" s="196" t="s">
        <v>11</v>
      </c>
      <c r="E33" s="196" t="s">
        <v>105</v>
      </c>
      <c r="F33" s="197" t="s">
        <v>177</v>
      </c>
      <c r="G33" s="216">
        <v>41449</v>
      </c>
      <c r="H33" s="199">
        <v>105000</v>
      </c>
      <c r="I33" s="200">
        <v>180000</v>
      </c>
      <c r="J33" s="215" t="s">
        <v>179</v>
      </c>
      <c r="K33" s="222">
        <v>1.5</v>
      </c>
      <c r="L33" s="220">
        <v>3500</v>
      </c>
      <c r="M33" s="623" t="s">
        <v>101</v>
      </c>
      <c r="N33" s="240"/>
    </row>
    <row r="34" spans="1:15" s="194" customFormat="1" ht="33" customHeight="1" x14ac:dyDescent="0.4">
      <c r="A34" s="192">
        <v>73</v>
      </c>
      <c r="B34" s="196" t="s">
        <v>111</v>
      </c>
      <c r="C34" s="193" t="s">
        <v>99</v>
      </c>
      <c r="D34" s="196" t="s">
        <v>11</v>
      </c>
      <c r="E34" s="196" t="s">
        <v>104</v>
      </c>
      <c r="F34" s="197" t="s">
        <v>165</v>
      </c>
      <c r="G34" s="216">
        <v>41621</v>
      </c>
      <c r="H34" s="199">
        <v>230000</v>
      </c>
      <c r="I34" s="200">
        <v>298000</v>
      </c>
      <c r="J34" s="215" t="s">
        <v>172</v>
      </c>
      <c r="K34" s="217">
        <v>1.5</v>
      </c>
      <c r="L34" s="218">
        <v>6000</v>
      </c>
      <c r="M34" s="625" t="s">
        <v>166</v>
      </c>
      <c r="N34" s="240"/>
    </row>
    <row r="35" spans="1:15" s="194" customFormat="1" ht="33" customHeight="1" x14ac:dyDescent="0.4">
      <c r="A35" s="196">
        <v>72</v>
      </c>
      <c r="B35" s="204" t="s">
        <v>111</v>
      </c>
      <c r="C35" s="193" t="s">
        <v>170</v>
      </c>
      <c r="D35" s="213" t="s">
        <v>11</v>
      </c>
      <c r="E35" s="196" t="s">
        <v>105</v>
      </c>
      <c r="F35" s="197" t="s">
        <v>130</v>
      </c>
      <c r="G35" s="216">
        <v>41549</v>
      </c>
      <c r="H35" s="199">
        <v>135000</v>
      </c>
      <c r="I35" s="200">
        <v>180000</v>
      </c>
      <c r="J35" s="215" t="s">
        <v>181</v>
      </c>
      <c r="K35" s="222">
        <v>1.5</v>
      </c>
      <c r="L35" s="220">
        <v>4500</v>
      </c>
      <c r="M35" s="623" t="s">
        <v>96</v>
      </c>
      <c r="N35" s="240"/>
    </row>
    <row r="36" spans="1:15" s="208" customFormat="1" ht="32.25" customHeight="1" x14ac:dyDescent="0.4">
      <c r="A36" s="196">
        <v>80</v>
      </c>
      <c r="B36" s="204" t="s">
        <v>8</v>
      </c>
      <c r="C36" s="224" t="s">
        <v>188</v>
      </c>
      <c r="D36" s="225" t="s">
        <v>11</v>
      </c>
      <c r="E36" s="196" t="s">
        <v>105</v>
      </c>
      <c r="F36" s="197" t="s">
        <v>142</v>
      </c>
      <c r="G36" s="199"/>
      <c r="H36" s="213"/>
      <c r="I36" s="231">
        <v>160000</v>
      </c>
      <c r="J36" s="290" t="s">
        <v>187</v>
      </c>
      <c r="K36" s="206">
        <v>1</v>
      </c>
      <c r="L36" s="220">
        <v>3000</v>
      </c>
      <c r="M36" s="624" t="s">
        <v>148</v>
      </c>
      <c r="N36" s="240"/>
    </row>
    <row r="37" spans="1:15" s="194" customFormat="1" ht="33" customHeight="1" x14ac:dyDescent="0.4">
      <c r="A37" s="196">
        <v>35</v>
      </c>
      <c r="B37" s="204" t="s">
        <v>111</v>
      </c>
      <c r="C37" s="226" t="s">
        <v>184</v>
      </c>
      <c r="D37" s="213" t="s">
        <v>11</v>
      </c>
      <c r="E37" s="196" t="s">
        <v>105</v>
      </c>
      <c r="F37" s="223" t="s">
        <v>229</v>
      </c>
      <c r="G37" s="216" t="s">
        <v>189</v>
      </c>
      <c r="H37" s="227">
        <v>150000</v>
      </c>
      <c r="I37" s="231">
        <v>300000</v>
      </c>
      <c r="J37" s="213" t="s">
        <v>190</v>
      </c>
      <c r="K37" s="213">
        <v>1.5</v>
      </c>
      <c r="L37" s="222">
        <v>4500</v>
      </c>
      <c r="M37" s="627" t="s">
        <v>194</v>
      </c>
      <c r="N37" s="240"/>
    </row>
    <row r="38" spans="1:15" s="208" customFormat="1" ht="32.25" customHeight="1" x14ac:dyDescent="0.4">
      <c r="A38" s="192"/>
      <c r="B38" s="192"/>
      <c r="C38" s="193" t="s">
        <v>184</v>
      </c>
      <c r="D38" s="284" t="s">
        <v>11</v>
      </c>
      <c r="E38" s="192" t="s">
        <v>105</v>
      </c>
      <c r="F38" s="228" t="s">
        <v>274</v>
      </c>
      <c r="G38" s="229"/>
      <c r="H38" s="288"/>
      <c r="I38" s="231">
        <v>300000</v>
      </c>
      <c r="J38" s="235" t="s">
        <v>276</v>
      </c>
      <c r="K38" s="217">
        <v>1.5</v>
      </c>
      <c r="L38" s="218">
        <v>6000</v>
      </c>
      <c r="M38" s="625" t="s">
        <v>185</v>
      </c>
      <c r="N38" s="196"/>
    </row>
    <row r="39" spans="1:15" s="208" customFormat="1" ht="32.25" customHeight="1" x14ac:dyDescent="0.4">
      <c r="A39" s="196">
        <v>82</v>
      </c>
      <c r="B39" s="204" t="s">
        <v>8</v>
      </c>
      <c r="C39" s="232" t="s">
        <v>197</v>
      </c>
      <c r="D39" s="213" t="s">
        <v>11</v>
      </c>
      <c r="E39" s="196" t="s">
        <v>105</v>
      </c>
      <c r="F39" s="233" t="s">
        <v>196</v>
      </c>
      <c r="G39" s="234"/>
      <c r="H39" s="276">
        <v>87500</v>
      </c>
      <c r="I39" s="231">
        <v>120000</v>
      </c>
      <c r="J39" s="215" t="s">
        <v>195</v>
      </c>
      <c r="K39" s="293">
        <v>0.9</v>
      </c>
      <c r="L39" s="220">
        <v>3000</v>
      </c>
      <c r="M39" s="624" t="s">
        <v>149</v>
      </c>
      <c r="N39" s="212"/>
      <c r="O39" s="236"/>
    </row>
    <row r="40" spans="1:15" s="208" customFormat="1" ht="38.5" customHeight="1" x14ac:dyDescent="0.4">
      <c r="A40" s="192">
        <v>37</v>
      </c>
      <c r="B40" s="192" t="s">
        <v>203</v>
      </c>
      <c r="C40" s="219" t="s">
        <v>202</v>
      </c>
      <c r="D40" s="192" t="s">
        <v>200</v>
      </c>
      <c r="E40" s="192" t="s">
        <v>201</v>
      </c>
      <c r="F40" s="228" t="s">
        <v>199</v>
      </c>
      <c r="G40" s="229" t="s">
        <v>230</v>
      </c>
      <c r="H40" s="287">
        <v>150000</v>
      </c>
      <c r="I40" s="231">
        <v>150000</v>
      </c>
      <c r="J40" s="215" t="s">
        <v>231</v>
      </c>
      <c r="K40" s="217">
        <v>1.5</v>
      </c>
      <c r="L40" s="218">
        <v>5000</v>
      </c>
      <c r="M40" s="625" t="s">
        <v>252</v>
      </c>
      <c r="N40" s="196"/>
    </row>
    <row r="41" spans="1:15" s="194" customFormat="1" ht="33" customHeight="1" x14ac:dyDescent="0.4">
      <c r="A41" s="196">
        <v>19</v>
      </c>
      <c r="B41" s="225"/>
      <c r="C41" s="215" t="s">
        <v>180</v>
      </c>
      <c r="D41" s="192" t="s">
        <v>11</v>
      </c>
      <c r="E41" s="192" t="s">
        <v>105</v>
      </c>
      <c r="F41" s="228" t="s">
        <v>2187</v>
      </c>
      <c r="G41" s="229"/>
      <c r="H41" s="277"/>
      <c r="I41" s="200">
        <v>170000</v>
      </c>
      <c r="J41" s="215" t="s">
        <v>275</v>
      </c>
      <c r="K41" s="217">
        <v>1.8</v>
      </c>
      <c r="L41" s="218">
        <v>3000</v>
      </c>
      <c r="M41" s="625">
        <v>2000.05</v>
      </c>
      <c r="N41" s="240"/>
    </row>
    <row r="42" spans="1:15" s="208" customFormat="1" ht="32.25" customHeight="1" x14ac:dyDescent="0.4">
      <c r="A42" s="221">
        <v>49</v>
      </c>
      <c r="B42" s="204" t="s">
        <v>232</v>
      </c>
      <c r="C42" s="282" t="s">
        <v>233</v>
      </c>
      <c r="D42" s="213" t="s">
        <v>234</v>
      </c>
      <c r="E42" s="236" t="s">
        <v>235</v>
      </c>
      <c r="F42" s="223" t="s">
        <v>236</v>
      </c>
      <c r="G42" s="216">
        <v>41288</v>
      </c>
      <c r="H42" s="227">
        <v>200000</v>
      </c>
      <c r="I42" s="200">
        <v>280000</v>
      </c>
      <c r="J42" s="290" t="s">
        <v>237</v>
      </c>
      <c r="K42" s="222">
        <v>2</v>
      </c>
      <c r="L42" s="220">
        <v>3000</v>
      </c>
      <c r="M42" s="621" t="s">
        <v>251</v>
      </c>
      <c r="N42" s="196"/>
    </row>
    <row r="43" spans="1:15" s="194" customFormat="1" ht="33" customHeight="1" x14ac:dyDescent="0.4">
      <c r="A43" s="192">
        <v>99</v>
      </c>
      <c r="B43" s="192" t="s">
        <v>238</v>
      </c>
      <c r="C43" s="193" t="s">
        <v>239</v>
      </c>
      <c r="D43" s="192" t="s">
        <v>14</v>
      </c>
      <c r="E43" s="192" t="s">
        <v>241</v>
      </c>
      <c r="F43" s="228" t="s">
        <v>521</v>
      </c>
      <c r="G43" s="229" t="s">
        <v>243</v>
      </c>
      <c r="H43" s="237">
        <v>280000</v>
      </c>
      <c r="I43" s="231">
        <v>350000</v>
      </c>
      <c r="J43" s="215" t="s">
        <v>244</v>
      </c>
      <c r="K43" s="217">
        <v>2</v>
      </c>
      <c r="L43" s="218">
        <v>3000</v>
      </c>
      <c r="M43" s="625">
        <v>2002</v>
      </c>
      <c r="N43" s="240"/>
    </row>
    <row r="44" spans="1:15" s="243" customFormat="1" ht="32.25" customHeight="1" x14ac:dyDescent="0.4">
      <c r="A44" s="192">
        <v>105</v>
      </c>
      <c r="B44" s="192" t="s">
        <v>245</v>
      </c>
      <c r="C44" s="193" t="s">
        <v>320</v>
      </c>
      <c r="D44" s="238" t="s">
        <v>240</v>
      </c>
      <c r="E44" s="196" t="s">
        <v>246</v>
      </c>
      <c r="F44" s="239" t="s">
        <v>247</v>
      </c>
      <c r="G44" s="229" t="s">
        <v>248</v>
      </c>
      <c r="H44" s="230">
        <v>85000</v>
      </c>
      <c r="I44" s="200">
        <v>140000</v>
      </c>
      <c r="J44" s="215" t="s">
        <v>249</v>
      </c>
      <c r="K44" s="217">
        <v>1.3</v>
      </c>
      <c r="L44" s="218">
        <v>4000</v>
      </c>
      <c r="M44" s="625"/>
      <c r="N44" s="665"/>
    </row>
    <row r="45" spans="1:15" s="194" customFormat="1" ht="33" customHeight="1" x14ac:dyDescent="0.4">
      <c r="A45" s="240">
        <v>110</v>
      </c>
      <c r="B45" s="192" t="s">
        <v>254</v>
      </c>
      <c r="C45" s="193" t="s">
        <v>257</v>
      </c>
      <c r="D45" s="192" t="s">
        <v>200</v>
      </c>
      <c r="E45" s="241" t="s">
        <v>105</v>
      </c>
      <c r="F45" s="228" t="s">
        <v>255</v>
      </c>
      <c r="G45" s="229" t="s">
        <v>262</v>
      </c>
      <c r="H45" s="230">
        <v>130000</v>
      </c>
      <c r="I45" s="200">
        <v>210000</v>
      </c>
      <c r="J45" s="215" t="s">
        <v>256</v>
      </c>
      <c r="K45" s="204">
        <v>1.5</v>
      </c>
      <c r="L45" s="242"/>
      <c r="M45" s="628" t="s">
        <v>258</v>
      </c>
      <c r="N45" s="240"/>
    </row>
    <row r="46" spans="1:15" s="194" customFormat="1" ht="33" customHeight="1" x14ac:dyDescent="0.4">
      <c r="A46" s="221">
        <v>92</v>
      </c>
      <c r="B46" s="244" t="s">
        <v>111</v>
      </c>
      <c r="C46" s="193" t="s">
        <v>265</v>
      </c>
      <c r="D46" s="238" t="s">
        <v>9</v>
      </c>
      <c r="E46" s="192" t="s">
        <v>105</v>
      </c>
      <c r="F46" s="239" t="s">
        <v>465</v>
      </c>
      <c r="G46" s="245">
        <v>41682</v>
      </c>
      <c r="H46" s="246">
        <v>450000</v>
      </c>
      <c r="I46" s="200">
        <v>619500</v>
      </c>
      <c r="J46" s="215" t="s">
        <v>266</v>
      </c>
      <c r="K46" s="247">
        <v>3</v>
      </c>
      <c r="L46" s="248">
        <v>5500</v>
      </c>
      <c r="M46" s="629" t="s">
        <v>183</v>
      </c>
      <c r="N46" s="240"/>
    </row>
    <row r="47" spans="1:15" s="194" customFormat="1" ht="33" customHeight="1" x14ac:dyDescent="0.4">
      <c r="A47" s="240">
        <v>69</v>
      </c>
      <c r="B47" s="192" t="s">
        <v>268</v>
      </c>
      <c r="C47" s="193" t="s">
        <v>269</v>
      </c>
      <c r="D47" s="192" t="s">
        <v>11</v>
      </c>
      <c r="E47" s="192" t="s">
        <v>270</v>
      </c>
      <c r="F47" s="228" t="s">
        <v>267</v>
      </c>
      <c r="G47" s="245">
        <v>41477</v>
      </c>
      <c r="H47" s="230">
        <v>100000</v>
      </c>
      <c r="I47" s="200">
        <v>190000</v>
      </c>
      <c r="J47" s="215" t="s">
        <v>271</v>
      </c>
      <c r="K47" s="204">
        <v>1.8</v>
      </c>
      <c r="L47" s="204">
        <v>4000</v>
      </c>
      <c r="M47" s="630" t="s">
        <v>133</v>
      </c>
      <c r="N47" s="240"/>
    </row>
    <row r="48" spans="1:15" s="194" customFormat="1" ht="33" customHeight="1" x14ac:dyDescent="0.4">
      <c r="A48" s="221">
        <v>79</v>
      </c>
      <c r="B48" s="244" t="s">
        <v>8</v>
      </c>
      <c r="C48" s="193" t="s">
        <v>279</v>
      </c>
      <c r="D48" s="238" t="s">
        <v>11</v>
      </c>
      <c r="E48" s="221" t="s">
        <v>105</v>
      </c>
      <c r="F48" s="239" t="s">
        <v>141</v>
      </c>
      <c r="G48" s="245">
        <v>41604</v>
      </c>
      <c r="H48" s="230">
        <v>87500</v>
      </c>
      <c r="I48" s="200">
        <v>148500</v>
      </c>
      <c r="J48" s="215" t="s">
        <v>280</v>
      </c>
      <c r="K48" s="247">
        <v>1</v>
      </c>
      <c r="L48" s="248">
        <v>3000</v>
      </c>
      <c r="M48" s="629" t="s">
        <v>147</v>
      </c>
      <c r="N48" s="240"/>
    </row>
    <row r="49" spans="1:14" s="194" customFormat="1" ht="33" customHeight="1" x14ac:dyDescent="0.4">
      <c r="A49" s="221">
        <v>122</v>
      </c>
      <c r="B49" s="244" t="s">
        <v>291</v>
      </c>
      <c r="C49" s="193" t="s">
        <v>295</v>
      </c>
      <c r="D49" s="238" t="s">
        <v>294</v>
      </c>
      <c r="E49" s="221" t="s">
        <v>105</v>
      </c>
      <c r="F49" s="239" t="s">
        <v>292</v>
      </c>
      <c r="G49" s="245" t="s">
        <v>293</v>
      </c>
      <c r="H49" s="230">
        <v>270000</v>
      </c>
      <c r="I49" s="200">
        <v>320000</v>
      </c>
      <c r="J49" s="215" t="s">
        <v>296</v>
      </c>
      <c r="K49" s="247">
        <v>1</v>
      </c>
      <c r="L49" s="248">
        <v>4000</v>
      </c>
      <c r="M49" s="631" t="s">
        <v>326</v>
      </c>
      <c r="N49" s="240"/>
    </row>
    <row r="50" spans="1:14" s="194" customFormat="1" ht="33" customHeight="1" x14ac:dyDescent="0.4">
      <c r="A50" s="221">
        <v>103</v>
      </c>
      <c r="B50" s="244" t="s">
        <v>8</v>
      </c>
      <c r="C50" s="193" t="s">
        <v>297</v>
      </c>
      <c r="D50" s="244" t="s">
        <v>11</v>
      </c>
      <c r="E50" s="244" t="s">
        <v>204</v>
      </c>
      <c r="F50" s="249" t="s">
        <v>205</v>
      </c>
      <c r="G50" s="244" t="s">
        <v>208</v>
      </c>
      <c r="H50" s="230">
        <v>85000</v>
      </c>
      <c r="I50" s="200">
        <v>100000</v>
      </c>
      <c r="J50" s="215" t="s">
        <v>1982</v>
      </c>
      <c r="K50" s="244">
        <v>1.3</v>
      </c>
      <c r="L50" s="248">
        <v>4000</v>
      </c>
      <c r="M50" s="631">
        <v>1995</v>
      </c>
      <c r="N50" s="240"/>
    </row>
    <row r="51" spans="1:14" s="194" customFormat="1" ht="33" customHeight="1" x14ac:dyDescent="0.4">
      <c r="A51" s="221">
        <v>106</v>
      </c>
      <c r="B51" s="244" t="s">
        <v>8</v>
      </c>
      <c r="C51" s="193" t="s">
        <v>318</v>
      </c>
      <c r="D51" s="244" t="s">
        <v>11</v>
      </c>
      <c r="E51" s="221" t="s">
        <v>204</v>
      </c>
      <c r="F51" s="239" t="s">
        <v>206</v>
      </c>
      <c r="G51" s="245" t="s">
        <v>208</v>
      </c>
      <c r="H51" s="250">
        <v>85000</v>
      </c>
      <c r="I51" s="231">
        <v>140000</v>
      </c>
      <c r="J51" s="215" t="s">
        <v>317</v>
      </c>
      <c r="K51" s="247">
        <v>1.3</v>
      </c>
      <c r="L51" s="248">
        <v>4000</v>
      </c>
      <c r="M51" s="630">
        <v>1994</v>
      </c>
      <c r="N51" s="240"/>
    </row>
    <row r="52" spans="1:14" s="194" customFormat="1" ht="33" customHeight="1" x14ac:dyDescent="0.4">
      <c r="A52" s="244">
        <v>126</v>
      </c>
      <c r="B52" s="244" t="s">
        <v>8</v>
      </c>
      <c r="C52" s="193" t="s">
        <v>316</v>
      </c>
      <c r="D52" s="244" t="s">
        <v>11</v>
      </c>
      <c r="E52" s="221" t="s">
        <v>105</v>
      </c>
      <c r="F52" s="239" t="s">
        <v>306</v>
      </c>
      <c r="G52" s="245" t="s">
        <v>307</v>
      </c>
      <c r="H52" s="250">
        <v>120000</v>
      </c>
      <c r="I52" s="231">
        <v>160000</v>
      </c>
      <c r="J52" s="215" t="s">
        <v>319</v>
      </c>
      <c r="K52" s="247">
        <v>1.3</v>
      </c>
      <c r="L52" s="251">
        <v>4700</v>
      </c>
      <c r="M52" s="631">
        <v>2000</v>
      </c>
      <c r="N52" s="240"/>
    </row>
    <row r="53" spans="1:14" s="260" customFormat="1" ht="32.25" customHeight="1" x14ac:dyDescent="0.4">
      <c r="A53" s="221">
        <v>47</v>
      </c>
      <c r="B53" s="238" t="s">
        <v>299</v>
      </c>
      <c r="C53" s="193" t="s">
        <v>321</v>
      </c>
      <c r="D53" s="238" t="s">
        <v>14</v>
      </c>
      <c r="E53" s="238" t="s">
        <v>108</v>
      </c>
      <c r="F53" s="258" t="s">
        <v>335</v>
      </c>
      <c r="G53" s="238" t="s">
        <v>300</v>
      </c>
      <c r="H53" s="259">
        <v>50000</v>
      </c>
      <c r="I53" s="200">
        <v>330000</v>
      </c>
      <c r="J53" s="215" t="s">
        <v>322</v>
      </c>
      <c r="K53" s="238">
        <v>2</v>
      </c>
      <c r="L53" s="238">
        <v>4700</v>
      </c>
      <c r="M53" s="632"/>
      <c r="N53" s="221" t="s">
        <v>10</v>
      </c>
    </row>
    <row r="54" spans="1:14" s="194" customFormat="1" ht="33" customHeight="1" x14ac:dyDescent="0.4">
      <c r="A54" s="221">
        <v>120</v>
      </c>
      <c r="B54" s="244" t="s">
        <v>8</v>
      </c>
      <c r="C54" s="193" t="s">
        <v>44</v>
      </c>
      <c r="D54" s="238" t="s">
        <v>9</v>
      </c>
      <c r="E54" s="221" t="s">
        <v>105</v>
      </c>
      <c r="F54" s="239" t="s">
        <v>278</v>
      </c>
      <c r="G54" s="245" t="s">
        <v>277</v>
      </c>
      <c r="H54" s="250">
        <v>360000</v>
      </c>
      <c r="I54" s="200">
        <v>360000</v>
      </c>
      <c r="J54" s="215" t="s">
        <v>340</v>
      </c>
      <c r="K54" s="247">
        <v>2.5</v>
      </c>
      <c r="L54" s="251">
        <v>3000</v>
      </c>
      <c r="M54" s="631" t="s">
        <v>327</v>
      </c>
      <c r="N54" s="261"/>
    </row>
    <row r="55" spans="1:14" s="194" customFormat="1" ht="33" customHeight="1" x14ac:dyDescent="0.4">
      <c r="A55" s="279">
        <v>48</v>
      </c>
      <c r="B55" s="262" t="s">
        <v>111</v>
      </c>
      <c r="C55" s="193" t="s">
        <v>333</v>
      </c>
      <c r="D55" s="241" t="s">
        <v>216</v>
      </c>
      <c r="E55" s="261" t="s">
        <v>472</v>
      </c>
      <c r="F55" s="263" t="s">
        <v>217</v>
      </c>
      <c r="G55" s="264">
        <v>41285</v>
      </c>
      <c r="H55" s="265">
        <v>260000</v>
      </c>
      <c r="I55" s="200">
        <v>300000</v>
      </c>
      <c r="J55" s="215" t="s">
        <v>334</v>
      </c>
      <c r="K55" s="266">
        <v>2</v>
      </c>
      <c r="L55" s="267">
        <v>3000</v>
      </c>
      <c r="M55" s="633"/>
      <c r="N55" s="240"/>
    </row>
    <row r="56" spans="1:14" s="194" customFormat="1" ht="33" customHeight="1" x14ac:dyDescent="0.4">
      <c r="A56" s="275">
        <v>131</v>
      </c>
      <c r="B56" s="244" t="s">
        <v>8</v>
      </c>
      <c r="C56" s="193" t="s">
        <v>336</v>
      </c>
      <c r="D56" s="238" t="s">
        <v>11</v>
      </c>
      <c r="E56" s="221" t="s">
        <v>105</v>
      </c>
      <c r="F56" s="239" t="s">
        <v>339</v>
      </c>
      <c r="G56" s="245" t="s">
        <v>331</v>
      </c>
      <c r="H56" s="250">
        <v>105000</v>
      </c>
      <c r="I56" s="200">
        <v>160000</v>
      </c>
      <c r="J56" s="215" t="s">
        <v>338</v>
      </c>
      <c r="K56" s="247">
        <v>1</v>
      </c>
      <c r="L56" s="251">
        <v>3000</v>
      </c>
      <c r="M56" s="631">
        <v>2003</v>
      </c>
      <c r="N56" s="221"/>
    </row>
    <row r="57" spans="1:14" s="194" customFormat="1" ht="33" customHeight="1" x14ac:dyDescent="0.4">
      <c r="A57" s="221">
        <v>132</v>
      </c>
      <c r="B57" s="244" t="s">
        <v>8</v>
      </c>
      <c r="C57" s="193" t="s">
        <v>359</v>
      </c>
      <c r="D57" s="238" t="s">
        <v>11</v>
      </c>
      <c r="E57" s="221" t="s">
        <v>105</v>
      </c>
      <c r="F57" s="239" t="s">
        <v>332</v>
      </c>
      <c r="G57" s="245" t="s">
        <v>331</v>
      </c>
      <c r="H57" s="250">
        <v>120000</v>
      </c>
      <c r="I57" s="200">
        <v>175000</v>
      </c>
      <c r="J57" s="215" t="s">
        <v>360</v>
      </c>
      <c r="K57" s="247">
        <v>1.3</v>
      </c>
      <c r="L57" s="251">
        <v>4700</v>
      </c>
      <c r="M57" s="631">
        <v>2000</v>
      </c>
      <c r="N57" s="240" t="s">
        <v>352</v>
      </c>
    </row>
    <row r="58" spans="1:14" s="194" customFormat="1" ht="33" customHeight="1" x14ac:dyDescent="0.4">
      <c r="A58" s="221">
        <v>137</v>
      </c>
      <c r="B58" s="244" t="s">
        <v>347</v>
      </c>
      <c r="C58" s="193" t="s">
        <v>348</v>
      </c>
      <c r="D58" s="238" t="s">
        <v>200</v>
      </c>
      <c r="E58" s="221" t="s">
        <v>105</v>
      </c>
      <c r="F58" s="239" t="s">
        <v>349</v>
      </c>
      <c r="G58" s="245" t="s">
        <v>350</v>
      </c>
      <c r="H58" s="250">
        <v>85000</v>
      </c>
      <c r="I58" s="200">
        <v>160000</v>
      </c>
      <c r="J58" s="215" t="s">
        <v>357</v>
      </c>
      <c r="K58" s="247">
        <v>1.3</v>
      </c>
      <c r="L58" s="251">
        <v>3000</v>
      </c>
      <c r="M58" s="631" t="s">
        <v>351</v>
      </c>
      <c r="N58" s="240"/>
    </row>
    <row r="59" spans="1:14" s="194" customFormat="1" ht="33" customHeight="1" x14ac:dyDescent="0.4">
      <c r="A59" s="221">
        <v>78</v>
      </c>
      <c r="B59" s="244" t="s">
        <v>353</v>
      </c>
      <c r="C59" s="193" t="s">
        <v>354</v>
      </c>
      <c r="D59" s="238" t="s">
        <v>250</v>
      </c>
      <c r="E59" s="221" t="s">
        <v>105</v>
      </c>
      <c r="F59" s="239" t="s">
        <v>355</v>
      </c>
      <c r="G59" s="245">
        <v>41584</v>
      </c>
      <c r="H59" s="250">
        <v>250000</v>
      </c>
      <c r="I59" s="200">
        <v>315000</v>
      </c>
      <c r="J59" s="215" t="s">
        <v>358</v>
      </c>
      <c r="K59" s="247">
        <v>2.5</v>
      </c>
      <c r="L59" s="251">
        <v>4000</v>
      </c>
      <c r="M59" s="631" t="s">
        <v>356</v>
      </c>
      <c r="N59" s="240"/>
    </row>
    <row r="60" spans="1:14" s="194" customFormat="1" ht="33" customHeight="1" x14ac:dyDescent="0.4">
      <c r="A60" s="221">
        <v>107</v>
      </c>
      <c r="B60" s="244" t="s">
        <v>8</v>
      </c>
      <c r="C60" s="193" t="s">
        <v>363</v>
      </c>
      <c r="D60" s="238" t="s">
        <v>9</v>
      </c>
      <c r="E60" s="221" t="s">
        <v>204</v>
      </c>
      <c r="F60" s="239" t="s">
        <v>207</v>
      </c>
      <c r="G60" s="245" t="s">
        <v>208</v>
      </c>
      <c r="H60" s="250">
        <v>225000</v>
      </c>
      <c r="I60" s="200">
        <v>120000</v>
      </c>
      <c r="J60" s="215" t="s">
        <v>364</v>
      </c>
      <c r="K60" s="247">
        <v>1.5</v>
      </c>
      <c r="L60" s="248">
        <v>3000</v>
      </c>
      <c r="M60" s="634">
        <v>36495</v>
      </c>
      <c r="N60" s="240"/>
    </row>
    <row r="61" spans="1:14" s="194" customFormat="1" ht="33" customHeight="1" x14ac:dyDescent="0.4">
      <c r="A61" s="221">
        <v>135</v>
      </c>
      <c r="B61" s="244" t="s">
        <v>366</v>
      </c>
      <c r="C61" s="193" t="s">
        <v>367</v>
      </c>
      <c r="D61" s="238" t="s">
        <v>14</v>
      </c>
      <c r="E61" s="221" t="s">
        <v>343</v>
      </c>
      <c r="F61" s="239" t="s">
        <v>345</v>
      </c>
      <c r="G61" s="245" t="s">
        <v>346</v>
      </c>
      <c r="H61" s="250">
        <v>210000</v>
      </c>
      <c r="I61" s="200">
        <v>320000</v>
      </c>
      <c r="J61" s="215" t="s">
        <v>368</v>
      </c>
      <c r="K61" s="247">
        <v>2</v>
      </c>
      <c r="L61" s="251">
        <v>4000</v>
      </c>
      <c r="M61" s="631"/>
      <c r="N61" s="240"/>
    </row>
    <row r="62" spans="1:14" s="194" customFormat="1" ht="33" customHeight="1" x14ac:dyDescent="0.4">
      <c r="A62" s="221">
        <v>94</v>
      </c>
      <c r="B62" s="262" t="s">
        <v>111</v>
      </c>
      <c r="C62" s="193" t="s">
        <v>405</v>
      </c>
      <c r="D62" s="238" t="s">
        <v>11</v>
      </c>
      <c r="E62" s="221" t="s">
        <v>105</v>
      </c>
      <c r="F62" s="239" t="s">
        <v>191</v>
      </c>
      <c r="G62" s="245" t="s">
        <v>193</v>
      </c>
      <c r="H62" s="265">
        <v>120000</v>
      </c>
      <c r="I62" s="200">
        <v>170000</v>
      </c>
      <c r="J62" s="215" t="s">
        <v>410</v>
      </c>
      <c r="K62" s="266">
        <v>1.5</v>
      </c>
      <c r="L62" s="267">
        <v>4000</v>
      </c>
      <c r="M62" s="633">
        <v>1998.09</v>
      </c>
      <c r="N62" s="240"/>
    </row>
    <row r="63" spans="1:14" s="194" customFormat="1" ht="33" customHeight="1" x14ac:dyDescent="0.4">
      <c r="A63" s="221">
        <v>136</v>
      </c>
      <c r="B63" s="262" t="s">
        <v>421</v>
      </c>
      <c r="C63" s="193" t="s">
        <v>422</v>
      </c>
      <c r="D63" s="238" t="s">
        <v>423</v>
      </c>
      <c r="E63" s="221" t="s">
        <v>105</v>
      </c>
      <c r="F63" s="239" t="s">
        <v>478</v>
      </c>
      <c r="G63" s="245" t="s">
        <v>365</v>
      </c>
      <c r="H63" s="250">
        <v>105000</v>
      </c>
      <c r="I63" s="200">
        <v>320000</v>
      </c>
      <c r="J63" s="215" t="s">
        <v>694</v>
      </c>
      <c r="K63" s="247">
        <v>2</v>
      </c>
      <c r="L63" s="251">
        <v>3000</v>
      </c>
      <c r="M63" s="635">
        <v>35735</v>
      </c>
      <c r="N63" s="240"/>
    </row>
    <row r="64" spans="1:14" ht="33" customHeight="1" x14ac:dyDescent="0.4">
      <c r="A64" s="302">
        <v>104</v>
      </c>
      <c r="B64" s="303" t="s">
        <v>8</v>
      </c>
      <c r="C64" s="193" t="s">
        <v>480</v>
      </c>
      <c r="D64" s="304" t="s">
        <v>11</v>
      </c>
      <c r="E64" s="302" t="s">
        <v>204</v>
      </c>
      <c r="F64" s="305" t="s">
        <v>362</v>
      </c>
      <c r="G64" s="306" t="s">
        <v>208</v>
      </c>
      <c r="H64" s="307">
        <v>85000</v>
      </c>
      <c r="I64" s="200">
        <v>190000</v>
      </c>
      <c r="J64" s="215" t="s">
        <v>481</v>
      </c>
      <c r="K64" s="303">
        <v>1.3</v>
      </c>
      <c r="L64" s="308">
        <v>4000</v>
      </c>
      <c r="M64" s="636">
        <v>1995</v>
      </c>
      <c r="N64" s="80"/>
    </row>
    <row r="65" spans="1:14" s="194" customFormat="1" ht="33" customHeight="1" x14ac:dyDescent="0.4">
      <c r="A65" s="221">
        <v>86</v>
      </c>
      <c r="B65" s="244" t="s">
        <v>111</v>
      </c>
      <c r="C65" s="193" t="s">
        <v>479</v>
      </c>
      <c r="D65" s="238" t="s">
        <v>11</v>
      </c>
      <c r="E65" s="221" t="s">
        <v>105</v>
      </c>
      <c r="F65" s="239" t="s">
        <v>174</v>
      </c>
      <c r="G65" s="245">
        <v>41652</v>
      </c>
      <c r="H65" s="250">
        <v>150000</v>
      </c>
      <c r="I65" s="200">
        <v>180000</v>
      </c>
      <c r="J65" s="215" t="s">
        <v>482</v>
      </c>
      <c r="K65" s="247">
        <v>1.8</v>
      </c>
      <c r="L65" s="248">
        <v>4300</v>
      </c>
      <c r="M65" s="630" t="s">
        <v>387</v>
      </c>
      <c r="N65" s="221" t="s">
        <v>424</v>
      </c>
    </row>
    <row r="66" spans="1:14" s="194" customFormat="1" ht="33" customHeight="1" x14ac:dyDescent="0.4">
      <c r="A66" s="221">
        <v>146</v>
      </c>
      <c r="B66" s="244" t="s">
        <v>111</v>
      </c>
      <c r="C66" s="193" t="s">
        <v>484</v>
      </c>
      <c r="D66" s="238" t="s">
        <v>11</v>
      </c>
      <c r="E66" s="221" t="s">
        <v>105</v>
      </c>
      <c r="F66" s="239" t="s">
        <v>485</v>
      </c>
      <c r="G66" s="245" t="s">
        <v>486</v>
      </c>
      <c r="H66" s="250">
        <v>180000</v>
      </c>
      <c r="I66" s="200">
        <v>280000</v>
      </c>
      <c r="J66" s="215" t="s">
        <v>487</v>
      </c>
      <c r="K66" s="247">
        <v>1</v>
      </c>
      <c r="L66" s="248">
        <v>4700</v>
      </c>
      <c r="M66" s="342" t="s">
        <v>488</v>
      </c>
      <c r="N66" s="240"/>
    </row>
    <row r="67" spans="1:14" s="194" customFormat="1" ht="33" customHeight="1" x14ac:dyDescent="0.4">
      <c r="A67" s="221">
        <v>115</v>
      </c>
      <c r="B67" s="244" t="s">
        <v>8</v>
      </c>
      <c r="C67" s="193" t="s">
        <v>499</v>
      </c>
      <c r="D67" s="238" t="s">
        <v>9</v>
      </c>
      <c r="E67" s="221" t="s">
        <v>105</v>
      </c>
      <c r="F67" s="239" t="s">
        <v>473</v>
      </c>
      <c r="G67" s="245" t="s">
        <v>308</v>
      </c>
      <c r="H67" s="250">
        <v>635000</v>
      </c>
      <c r="I67" s="200">
        <v>620000</v>
      </c>
      <c r="J67" s="215" t="s">
        <v>500</v>
      </c>
      <c r="K67" s="309">
        <v>2.5</v>
      </c>
      <c r="L67" s="310">
        <v>3000</v>
      </c>
      <c r="M67" s="628">
        <v>2014</v>
      </c>
      <c r="N67" s="240"/>
    </row>
    <row r="68" spans="1:14" s="194" customFormat="1" ht="33" customHeight="1" x14ac:dyDescent="0.4">
      <c r="A68" s="314">
        <v>119</v>
      </c>
      <c r="B68" s="244" t="s">
        <v>8</v>
      </c>
      <c r="C68" s="193" t="s">
        <v>1283</v>
      </c>
      <c r="D68" s="314" t="s">
        <v>11</v>
      </c>
      <c r="E68" s="314" t="s">
        <v>105</v>
      </c>
      <c r="F68" s="316" t="s">
        <v>282</v>
      </c>
      <c r="G68" s="314" t="s">
        <v>277</v>
      </c>
      <c r="H68" s="307">
        <v>90000</v>
      </c>
      <c r="I68" s="200">
        <v>140000</v>
      </c>
      <c r="J68" s="215" t="s">
        <v>503</v>
      </c>
      <c r="K68" s="317">
        <v>1.5</v>
      </c>
      <c r="L68" s="314">
        <v>3000</v>
      </c>
      <c r="M68" s="333" t="s">
        <v>283</v>
      </c>
      <c r="N68" s="240"/>
    </row>
    <row r="69" spans="1:14" s="318" customFormat="1" ht="32.25" customHeight="1" x14ac:dyDescent="0.4">
      <c r="A69" s="221">
        <v>114</v>
      </c>
      <c r="B69" s="244" t="s">
        <v>8</v>
      </c>
      <c r="C69" s="315" t="s">
        <v>501</v>
      </c>
      <c r="D69" s="238" t="s">
        <v>14</v>
      </c>
      <c r="E69" s="221" t="s">
        <v>105</v>
      </c>
      <c r="F69" s="239" t="s">
        <v>475</v>
      </c>
      <c r="G69" s="245" t="s">
        <v>308</v>
      </c>
      <c r="H69" s="250">
        <v>770000</v>
      </c>
      <c r="I69" s="200">
        <v>870000</v>
      </c>
      <c r="J69" s="215" t="s">
        <v>502</v>
      </c>
      <c r="K69" s="309">
        <v>2</v>
      </c>
      <c r="L69" s="310">
        <v>3000</v>
      </c>
      <c r="M69" s="628">
        <v>2014</v>
      </c>
      <c r="N69" s="261" t="s">
        <v>10</v>
      </c>
    </row>
    <row r="70" spans="1:14" s="194" customFormat="1" ht="33" customHeight="1" x14ac:dyDescent="0.4">
      <c r="A70" s="221">
        <v>147</v>
      </c>
      <c r="B70" s="244" t="s">
        <v>85</v>
      </c>
      <c r="C70" s="193" t="s">
        <v>501</v>
      </c>
      <c r="D70" s="238" t="s">
        <v>9</v>
      </c>
      <c r="E70" s="221" t="s">
        <v>105</v>
      </c>
      <c r="F70" s="239" t="s">
        <v>476</v>
      </c>
      <c r="G70" s="245" t="s">
        <v>477</v>
      </c>
      <c r="H70" s="250">
        <v>772000</v>
      </c>
      <c r="I70" s="200">
        <v>720000</v>
      </c>
      <c r="J70" s="215" t="s">
        <v>502</v>
      </c>
      <c r="K70" s="309">
        <v>2.5</v>
      </c>
      <c r="L70" s="310">
        <v>4000</v>
      </c>
      <c r="M70" s="628">
        <v>2015.03</v>
      </c>
      <c r="N70" s="240"/>
    </row>
    <row r="71" spans="1:14" s="194" customFormat="1" ht="33" customHeight="1" x14ac:dyDescent="0.4">
      <c r="A71" s="314">
        <v>150</v>
      </c>
      <c r="B71" s="244" t="s">
        <v>8</v>
      </c>
      <c r="C71" s="193" t="s">
        <v>504</v>
      </c>
      <c r="D71" s="314" t="s">
        <v>11</v>
      </c>
      <c r="E71" s="314" t="s">
        <v>105</v>
      </c>
      <c r="F71" s="316" t="s">
        <v>494</v>
      </c>
      <c r="G71" s="314" t="s">
        <v>2181</v>
      </c>
      <c r="H71" s="307">
        <v>85000</v>
      </c>
      <c r="I71" s="200">
        <v>150000</v>
      </c>
      <c r="J71" s="215" t="s">
        <v>502</v>
      </c>
      <c r="K71" s="317">
        <v>1.5</v>
      </c>
      <c r="L71" s="314">
        <v>3000</v>
      </c>
      <c r="M71" s="333" t="s">
        <v>495</v>
      </c>
      <c r="N71" s="240"/>
    </row>
    <row r="72" spans="1:14" s="194" customFormat="1" ht="33" customHeight="1" x14ac:dyDescent="0.4">
      <c r="A72" s="333">
        <v>134</v>
      </c>
      <c r="B72" s="244" t="s">
        <v>512</v>
      </c>
      <c r="C72" s="193" t="s">
        <v>513</v>
      </c>
      <c r="D72" s="334" t="s">
        <v>11</v>
      </c>
      <c r="E72" s="279" t="s">
        <v>204</v>
      </c>
      <c r="F72" s="335" t="s">
        <v>515</v>
      </c>
      <c r="G72" s="336" t="s">
        <v>346</v>
      </c>
      <c r="H72" s="265">
        <v>85000</v>
      </c>
      <c r="I72" s="200">
        <v>120000</v>
      </c>
      <c r="J72" s="215" t="s">
        <v>514</v>
      </c>
      <c r="K72" s="337">
        <v>0.9</v>
      </c>
      <c r="L72" s="333">
        <v>3700</v>
      </c>
      <c r="M72" s="333" t="s">
        <v>516</v>
      </c>
      <c r="N72" s="240"/>
    </row>
    <row r="73" spans="1:14" s="194" customFormat="1" ht="33" customHeight="1" x14ac:dyDescent="0.4">
      <c r="A73" s="261">
        <v>155</v>
      </c>
      <c r="B73" s="262" t="s">
        <v>489</v>
      </c>
      <c r="C73" s="193" t="s">
        <v>517</v>
      </c>
      <c r="D73" s="241" t="s">
        <v>16</v>
      </c>
      <c r="E73" s="241" t="s">
        <v>16</v>
      </c>
      <c r="F73" s="258" t="s">
        <v>507</v>
      </c>
      <c r="G73" s="264" t="s">
        <v>506</v>
      </c>
      <c r="H73" s="265">
        <v>110000</v>
      </c>
      <c r="I73" s="200">
        <v>160000</v>
      </c>
      <c r="J73" s="215" t="s">
        <v>518</v>
      </c>
      <c r="K73" s="317"/>
      <c r="L73" s="314"/>
      <c r="M73" s="633" t="s">
        <v>509</v>
      </c>
      <c r="N73" s="221" t="s">
        <v>474</v>
      </c>
    </row>
    <row r="74" spans="1:14" s="260" customFormat="1" ht="32.25" customHeight="1" x14ac:dyDescent="0.4">
      <c r="A74" s="221">
        <v>96</v>
      </c>
      <c r="B74" s="244" t="s">
        <v>111</v>
      </c>
      <c r="C74" s="193" t="s">
        <v>519</v>
      </c>
      <c r="D74" s="244" t="s">
        <v>14</v>
      </c>
      <c r="E74" s="221" t="s">
        <v>104</v>
      </c>
      <c r="F74" s="239" t="s">
        <v>192</v>
      </c>
      <c r="G74" s="245" t="s">
        <v>193</v>
      </c>
      <c r="H74" s="307">
        <v>150000</v>
      </c>
      <c r="I74" s="200">
        <v>200000</v>
      </c>
      <c r="J74" s="215" t="s">
        <v>520</v>
      </c>
      <c r="K74" s="303">
        <v>1.5</v>
      </c>
      <c r="L74" s="308">
        <v>4000</v>
      </c>
      <c r="M74" s="633">
        <v>1997</v>
      </c>
      <c r="N74" s="240"/>
    </row>
    <row r="75" spans="1:14" s="194" customFormat="1" ht="33" customHeight="1" x14ac:dyDescent="0.4">
      <c r="A75" s="279">
        <v>1</v>
      </c>
      <c r="B75" s="262" t="s">
        <v>8</v>
      </c>
      <c r="C75" s="193" t="s">
        <v>528</v>
      </c>
      <c r="D75" s="334" t="s">
        <v>9</v>
      </c>
      <c r="E75" s="279" t="s">
        <v>103</v>
      </c>
      <c r="F75" s="335" t="s">
        <v>529</v>
      </c>
      <c r="G75" s="336"/>
      <c r="H75" s="307">
        <v>210000</v>
      </c>
      <c r="I75" s="200">
        <v>409000</v>
      </c>
      <c r="J75" s="215" t="s">
        <v>523</v>
      </c>
      <c r="K75" s="338">
        <v>3</v>
      </c>
      <c r="L75" s="339">
        <v>5000</v>
      </c>
      <c r="M75" s="340" t="s">
        <v>522</v>
      </c>
      <c r="N75" s="302" t="s">
        <v>474</v>
      </c>
    </row>
    <row r="76" spans="1:14" s="194" customFormat="1" ht="33" customHeight="1" x14ac:dyDescent="0.4">
      <c r="A76" s="341">
        <v>133</v>
      </c>
      <c r="B76" s="244" t="s">
        <v>342</v>
      </c>
      <c r="C76" s="193" t="s">
        <v>525</v>
      </c>
      <c r="D76" s="238" t="s">
        <v>9</v>
      </c>
      <c r="E76" s="221" t="s">
        <v>343</v>
      </c>
      <c r="F76" s="239" t="s">
        <v>471</v>
      </c>
      <c r="G76" s="245" t="s">
        <v>344</v>
      </c>
      <c r="H76" s="250">
        <v>115000</v>
      </c>
      <c r="I76" s="200">
        <v>250000</v>
      </c>
      <c r="J76" s="215" t="s">
        <v>526</v>
      </c>
      <c r="K76" s="342">
        <v>2.5</v>
      </c>
      <c r="L76" s="343">
        <v>3000</v>
      </c>
      <c r="M76" s="631" t="s">
        <v>341</v>
      </c>
      <c r="N76" s="240"/>
    </row>
    <row r="77" spans="1:14" s="194" customFormat="1" ht="33" customHeight="1" x14ac:dyDescent="0.4">
      <c r="A77" s="261">
        <v>153</v>
      </c>
      <c r="B77" s="262" t="s">
        <v>489</v>
      </c>
      <c r="C77" s="193" t="s">
        <v>530</v>
      </c>
      <c r="D77" s="241" t="s">
        <v>11</v>
      </c>
      <c r="E77" s="261" t="s">
        <v>105</v>
      </c>
      <c r="F77" s="258" t="s">
        <v>497</v>
      </c>
      <c r="G77" s="264" t="s">
        <v>492</v>
      </c>
      <c r="H77" s="265">
        <v>85000</v>
      </c>
      <c r="I77" s="200">
        <v>150000</v>
      </c>
      <c r="J77" s="215" t="s">
        <v>531</v>
      </c>
      <c r="K77" s="344">
        <v>1.5</v>
      </c>
      <c r="L77" s="343">
        <v>3000</v>
      </c>
      <c r="M77" s="633"/>
      <c r="N77" s="240"/>
    </row>
    <row r="78" spans="1:14" s="194" customFormat="1" ht="33" customHeight="1" x14ac:dyDescent="0.4">
      <c r="A78" s="261">
        <v>158</v>
      </c>
      <c r="B78" s="262" t="s">
        <v>489</v>
      </c>
      <c r="C78" s="193" t="s">
        <v>536</v>
      </c>
      <c r="D78" s="241" t="s">
        <v>14</v>
      </c>
      <c r="E78" s="261" t="s">
        <v>105</v>
      </c>
      <c r="F78" s="258" t="s">
        <v>533</v>
      </c>
      <c r="G78" s="264" t="s">
        <v>534</v>
      </c>
      <c r="H78" s="265">
        <v>400000</v>
      </c>
      <c r="I78" s="200">
        <v>704470</v>
      </c>
      <c r="J78" s="215" t="s">
        <v>537</v>
      </c>
      <c r="K78" s="345">
        <v>3.5</v>
      </c>
      <c r="L78" s="251">
        <v>3000</v>
      </c>
      <c r="M78" s="637" t="s">
        <v>535</v>
      </c>
      <c r="N78" s="240"/>
    </row>
    <row r="79" spans="1:14" s="194" customFormat="1" ht="33" customHeight="1" x14ac:dyDescent="0.4">
      <c r="A79" s="261">
        <v>62</v>
      </c>
      <c r="B79" s="262" t="s">
        <v>78</v>
      </c>
      <c r="C79" s="193" t="s">
        <v>552</v>
      </c>
      <c r="D79" s="241" t="s">
        <v>9</v>
      </c>
      <c r="E79" s="261" t="s">
        <v>105</v>
      </c>
      <c r="F79" s="258" t="s">
        <v>324</v>
      </c>
      <c r="G79" s="264" t="s">
        <v>549</v>
      </c>
      <c r="H79" s="265">
        <v>195000</v>
      </c>
      <c r="I79" s="200">
        <v>230000</v>
      </c>
      <c r="J79" s="215" t="s">
        <v>550</v>
      </c>
      <c r="K79" s="345">
        <v>2</v>
      </c>
      <c r="L79" s="251">
        <v>3000</v>
      </c>
      <c r="M79" s="637" t="s">
        <v>551</v>
      </c>
      <c r="N79" s="261" t="s">
        <v>10</v>
      </c>
    </row>
    <row r="80" spans="1:14" s="194" customFormat="1" ht="33" customHeight="1" x14ac:dyDescent="0.4">
      <c r="A80" s="261">
        <v>160</v>
      </c>
      <c r="B80" s="262" t="s">
        <v>544</v>
      </c>
      <c r="C80" s="193" t="s">
        <v>545</v>
      </c>
      <c r="D80" s="241" t="s">
        <v>14</v>
      </c>
      <c r="E80" s="261" t="s">
        <v>105</v>
      </c>
      <c r="F80" s="258" t="s">
        <v>543</v>
      </c>
      <c r="G80" s="264" t="s">
        <v>540</v>
      </c>
      <c r="H80" s="265">
        <v>810000</v>
      </c>
      <c r="I80" s="200">
        <v>880000</v>
      </c>
      <c r="J80" s="215" t="s">
        <v>546</v>
      </c>
      <c r="K80" s="345">
        <v>2.5</v>
      </c>
      <c r="L80" s="251">
        <v>3000</v>
      </c>
      <c r="M80" s="638" t="s">
        <v>541</v>
      </c>
      <c r="N80" s="221" t="s">
        <v>10</v>
      </c>
    </row>
    <row r="81" spans="1:14" s="194" customFormat="1" ht="33" customHeight="1" x14ac:dyDescent="0.4">
      <c r="A81" s="275">
        <v>130</v>
      </c>
      <c r="B81" s="244" t="s">
        <v>8</v>
      </c>
      <c r="C81" s="193" t="s">
        <v>547</v>
      </c>
      <c r="D81" s="238" t="s">
        <v>11</v>
      </c>
      <c r="E81" s="221" t="s">
        <v>105</v>
      </c>
      <c r="F81" s="239" t="s">
        <v>330</v>
      </c>
      <c r="G81" s="245" t="s">
        <v>331</v>
      </c>
      <c r="H81" s="250">
        <v>90000</v>
      </c>
      <c r="I81" s="200">
        <v>130000</v>
      </c>
      <c r="J81" s="215" t="s">
        <v>548</v>
      </c>
      <c r="K81" s="247">
        <v>1.5</v>
      </c>
      <c r="L81" s="251">
        <v>4000</v>
      </c>
      <c r="M81" s="631">
        <v>1996</v>
      </c>
      <c r="N81" s="261" t="s">
        <v>474</v>
      </c>
    </row>
    <row r="82" spans="1:14" s="194" customFormat="1" ht="33" customHeight="1" x14ac:dyDescent="0.4">
      <c r="A82" s="261">
        <v>142</v>
      </c>
      <c r="B82" s="262" t="s">
        <v>367</v>
      </c>
      <c r="C82" s="193" t="s">
        <v>555</v>
      </c>
      <c r="D82" s="241" t="s">
        <v>9</v>
      </c>
      <c r="E82" s="261" t="s">
        <v>103</v>
      </c>
      <c r="F82" s="258" t="s">
        <v>420</v>
      </c>
      <c r="G82" s="347" t="s">
        <v>419</v>
      </c>
      <c r="H82" s="265">
        <v>95000</v>
      </c>
      <c r="I82" s="200">
        <v>145000</v>
      </c>
      <c r="J82" s="215" t="s">
        <v>554</v>
      </c>
      <c r="K82" s="348">
        <v>1.5</v>
      </c>
      <c r="L82" s="349">
        <v>3000</v>
      </c>
      <c r="M82" s="636"/>
      <c r="N82" s="261" t="s">
        <v>474</v>
      </c>
    </row>
    <row r="83" spans="1:14" s="194" customFormat="1" ht="33" customHeight="1" x14ac:dyDescent="0.4">
      <c r="A83" s="261">
        <v>43</v>
      </c>
      <c r="B83" s="262" t="s">
        <v>111</v>
      </c>
      <c r="C83" s="193" t="s">
        <v>556</v>
      </c>
      <c r="D83" s="241" t="s">
        <v>9</v>
      </c>
      <c r="E83" s="261" t="s">
        <v>103</v>
      </c>
      <c r="F83" s="263" t="s">
        <v>558</v>
      </c>
      <c r="G83" s="264">
        <v>41232</v>
      </c>
      <c r="H83" s="265">
        <v>210000</v>
      </c>
      <c r="I83" s="200">
        <v>220000</v>
      </c>
      <c r="J83" s="215" t="s">
        <v>557</v>
      </c>
      <c r="K83" s="266">
        <v>2.5</v>
      </c>
      <c r="L83" s="267">
        <v>3000</v>
      </c>
      <c r="M83" s="392" t="s">
        <v>527</v>
      </c>
      <c r="N83" s="261"/>
    </row>
    <row r="84" spans="1:14" s="194" customFormat="1" ht="33" customHeight="1" x14ac:dyDescent="0.4">
      <c r="A84" s="261">
        <v>163</v>
      </c>
      <c r="B84" s="262" t="s">
        <v>489</v>
      </c>
      <c r="C84" s="193" t="s">
        <v>569</v>
      </c>
      <c r="D84" s="241" t="s">
        <v>11</v>
      </c>
      <c r="E84" s="261" t="s">
        <v>105</v>
      </c>
      <c r="F84" s="258" t="s">
        <v>560</v>
      </c>
      <c r="G84" s="264" t="s">
        <v>561</v>
      </c>
      <c r="H84" s="307">
        <v>132000</v>
      </c>
      <c r="I84" s="200">
        <v>240000</v>
      </c>
      <c r="J84" s="215" t="s">
        <v>568</v>
      </c>
      <c r="K84" s="348">
        <v>1.8</v>
      </c>
      <c r="L84" s="350">
        <v>4300</v>
      </c>
      <c r="M84" s="633" t="s">
        <v>562</v>
      </c>
      <c r="N84" s="261" t="s">
        <v>474</v>
      </c>
    </row>
    <row r="85" spans="1:14" s="194" customFormat="1" ht="33" customHeight="1" x14ac:dyDescent="0.4">
      <c r="A85" s="279">
        <v>165</v>
      </c>
      <c r="B85" s="262" t="s">
        <v>489</v>
      </c>
      <c r="C85" s="193" t="s">
        <v>569</v>
      </c>
      <c r="D85" s="241" t="s">
        <v>11</v>
      </c>
      <c r="E85" s="261" t="s">
        <v>105</v>
      </c>
      <c r="F85" s="258" t="s">
        <v>564</v>
      </c>
      <c r="G85" s="264" t="s">
        <v>561</v>
      </c>
      <c r="H85" s="307">
        <v>132000</v>
      </c>
      <c r="I85" s="200">
        <v>240000</v>
      </c>
      <c r="J85" s="215" t="s">
        <v>568</v>
      </c>
      <c r="K85" s="348">
        <v>1.8</v>
      </c>
      <c r="L85" s="350">
        <v>4300</v>
      </c>
      <c r="M85" s="633" t="s">
        <v>566</v>
      </c>
      <c r="N85" s="261"/>
    </row>
    <row r="86" spans="1:14" s="362" customFormat="1" ht="32.25" customHeight="1" x14ac:dyDescent="0.4">
      <c r="A86" s="261">
        <v>168</v>
      </c>
      <c r="B86" s="262" t="s">
        <v>575</v>
      </c>
      <c r="C86" s="193" t="s">
        <v>576</v>
      </c>
      <c r="D86" s="304" t="s">
        <v>14</v>
      </c>
      <c r="E86" s="261" t="s">
        <v>579</v>
      </c>
      <c r="F86" s="258" t="s">
        <v>697</v>
      </c>
      <c r="G86" s="264" t="s">
        <v>577</v>
      </c>
      <c r="H86" s="307">
        <v>620000</v>
      </c>
      <c r="I86" s="200">
        <v>700000</v>
      </c>
      <c r="J86" s="215" t="s">
        <v>578</v>
      </c>
      <c r="K86" s="348">
        <v>1.5</v>
      </c>
      <c r="L86" s="350">
        <v>3000</v>
      </c>
      <c r="M86" s="633">
        <v>2015.08</v>
      </c>
      <c r="N86" s="261" t="s">
        <v>10</v>
      </c>
    </row>
    <row r="87" spans="1:14" s="194" customFormat="1" ht="33" customHeight="1" x14ac:dyDescent="0.4">
      <c r="A87" s="261">
        <v>157</v>
      </c>
      <c r="B87" s="262" t="s">
        <v>489</v>
      </c>
      <c r="C87" s="193" t="s">
        <v>583</v>
      </c>
      <c r="D87" s="241" t="s">
        <v>11</v>
      </c>
      <c r="E87" s="261" t="s">
        <v>105</v>
      </c>
      <c r="F87" s="258" t="s">
        <v>532</v>
      </c>
      <c r="G87" s="264" t="s">
        <v>534</v>
      </c>
      <c r="H87" s="265">
        <v>210000</v>
      </c>
      <c r="I87" s="200">
        <v>360000</v>
      </c>
      <c r="J87" s="215" t="s">
        <v>582</v>
      </c>
      <c r="K87" s="348">
        <v>1.2</v>
      </c>
      <c r="L87" s="350">
        <v>4700</v>
      </c>
      <c r="M87" s="633">
        <v>2005</v>
      </c>
      <c r="N87" s="261"/>
    </row>
    <row r="88" spans="1:14" s="194" customFormat="1" ht="33" customHeight="1" x14ac:dyDescent="0.4">
      <c r="A88" s="261">
        <v>172</v>
      </c>
      <c r="B88" s="262" t="s">
        <v>489</v>
      </c>
      <c r="C88" s="193" t="s">
        <v>583</v>
      </c>
      <c r="D88" s="241" t="s">
        <v>11</v>
      </c>
      <c r="E88" s="261" t="s">
        <v>627</v>
      </c>
      <c r="F88" s="258" t="s">
        <v>628</v>
      </c>
      <c r="G88" s="264" t="s">
        <v>600</v>
      </c>
      <c r="H88" s="265">
        <v>220000</v>
      </c>
      <c r="I88" s="200">
        <v>360000</v>
      </c>
      <c r="J88" s="215" t="s">
        <v>582</v>
      </c>
      <c r="K88" s="348">
        <v>1.2</v>
      </c>
      <c r="L88" s="350">
        <v>4300</v>
      </c>
      <c r="M88" s="633" t="s">
        <v>601</v>
      </c>
      <c r="N88" s="240"/>
    </row>
    <row r="89" spans="1:14" s="194" customFormat="1" ht="33" customHeight="1" x14ac:dyDescent="0.4">
      <c r="A89" s="261">
        <v>170</v>
      </c>
      <c r="B89" s="262" t="s">
        <v>584</v>
      </c>
      <c r="C89" s="193" t="s">
        <v>604</v>
      </c>
      <c r="D89" s="241" t="s">
        <v>11</v>
      </c>
      <c r="E89" s="261" t="s">
        <v>105</v>
      </c>
      <c r="F89" s="258" t="s">
        <v>585</v>
      </c>
      <c r="G89" s="264" t="s">
        <v>586</v>
      </c>
      <c r="H89" s="265">
        <v>100000</v>
      </c>
      <c r="I89" s="200">
        <v>180000</v>
      </c>
      <c r="J89" s="215" t="s">
        <v>605</v>
      </c>
      <c r="K89" s="345">
        <v>1.8</v>
      </c>
      <c r="L89" s="251">
        <v>3500</v>
      </c>
      <c r="M89" s="633" t="s">
        <v>587</v>
      </c>
      <c r="N89" s="240"/>
    </row>
    <row r="90" spans="1:14" s="194" customFormat="1" ht="33" customHeight="1" x14ac:dyDescent="0.4">
      <c r="A90" s="261">
        <v>46</v>
      </c>
      <c r="B90" s="262" t="s">
        <v>111</v>
      </c>
      <c r="C90" s="193" t="s">
        <v>598</v>
      </c>
      <c r="D90" s="241" t="s">
        <v>9</v>
      </c>
      <c r="E90" s="261" t="s">
        <v>103</v>
      </c>
      <c r="F90" s="258" t="s">
        <v>570</v>
      </c>
      <c r="G90" s="264" t="s">
        <v>88</v>
      </c>
      <c r="H90" s="265">
        <v>170000</v>
      </c>
      <c r="I90" s="200">
        <v>250000</v>
      </c>
      <c r="J90" s="215" t="s">
        <v>599</v>
      </c>
      <c r="K90" s="266">
        <v>2.5</v>
      </c>
      <c r="L90" s="267">
        <v>3000</v>
      </c>
      <c r="M90" s="633"/>
      <c r="N90" s="240"/>
    </row>
    <row r="91" spans="1:14" s="194" customFormat="1" ht="33" customHeight="1" x14ac:dyDescent="0.4">
      <c r="A91" s="261">
        <v>174</v>
      </c>
      <c r="B91" s="262" t="s">
        <v>489</v>
      </c>
      <c r="C91" s="193" t="s">
        <v>607</v>
      </c>
      <c r="D91" s="241" t="s">
        <v>11</v>
      </c>
      <c r="E91" s="261" t="s">
        <v>105</v>
      </c>
      <c r="F91" s="258" t="s">
        <v>594</v>
      </c>
      <c r="G91" s="264" t="s">
        <v>593</v>
      </c>
      <c r="H91" s="265">
        <v>80000</v>
      </c>
      <c r="I91" s="200">
        <v>170000</v>
      </c>
      <c r="J91" s="215" t="s">
        <v>608</v>
      </c>
      <c r="K91" s="345">
        <v>1</v>
      </c>
      <c r="L91" s="251">
        <v>4300</v>
      </c>
      <c r="M91" s="633" t="s">
        <v>595</v>
      </c>
      <c r="N91" s="240" t="s">
        <v>642</v>
      </c>
    </row>
    <row r="92" spans="1:14" s="194" customFormat="1" ht="33" customHeight="1" x14ac:dyDescent="0.4">
      <c r="A92" s="261">
        <v>173</v>
      </c>
      <c r="B92" s="262" t="s">
        <v>489</v>
      </c>
      <c r="C92" s="193" t="s">
        <v>612</v>
      </c>
      <c r="D92" s="241" t="s">
        <v>11</v>
      </c>
      <c r="E92" s="261" t="s">
        <v>105</v>
      </c>
      <c r="F92" s="258" t="s">
        <v>592</v>
      </c>
      <c r="G92" s="264" t="s">
        <v>593</v>
      </c>
      <c r="H92" s="265">
        <v>80000</v>
      </c>
      <c r="I92" s="200">
        <v>150000</v>
      </c>
      <c r="J92" s="215" t="s">
        <v>613</v>
      </c>
      <c r="K92" s="345">
        <v>1.5</v>
      </c>
      <c r="L92" s="251">
        <v>3000</v>
      </c>
      <c r="M92" s="633" t="s">
        <v>634</v>
      </c>
      <c r="N92" s="240"/>
    </row>
    <row r="93" spans="1:14" s="194" customFormat="1" ht="33" customHeight="1" x14ac:dyDescent="0.4">
      <c r="A93" s="262">
        <v>181</v>
      </c>
      <c r="B93" s="262" t="s">
        <v>620</v>
      </c>
      <c r="C93" s="193" t="s">
        <v>621</v>
      </c>
      <c r="D93" s="261" t="s">
        <v>250</v>
      </c>
      <c r="E93" s="241" t="s">
        <v>105</v>
      </c>
      <c r="F93" s="377" t="s">
        <v>625</v>
      </c>
      <c r="G93" s="264" t="s">
        <v>623</v>
      </c>
      <c r="H93" s="265">
        <v>640000</v>
      </c>
      <c r="I93" s="200">
        <v>750000</v>
      </c>
      <c r="J93" s="215" t="s">
        <v>624</v>
      </c>
      <c r="K93" s="378">
        <v>2.5</v>
      </c>
      <c r="L93" s="310">
        <v>4500</v>
      </c>
      <c r="M93" s="639" t="s">
        <v>626</v>
      </c>
      <c r="N93" s="240"/>
    </row>
    <row r="94" spans="1:14" s="194" customFormat="1" ht="33" customHeight="1" x14ac:dyDescent="0.4">
      <c r="A94" s="262">
        <v>61</v>
      </c>
      <c r="B94" s="262" t="s">
        <v>78</v>
      </c>
      <c r="C94" s="193" t="s">
        <v>618</v>
      </c>
      <c r="D94" s="261" t="s">
        <v>250</v>
      </c>
      <c r="E94" s="241" t="s">
        <v>105</v>
      </c>
      <c r="F94" s="377" t="s">
        <v>253</v>
      </c>
      <c r="G94" s="264" t="s">
        <v>622</v>
      </c>
      <c r="H94" s="265">
        <v>195000</v>
      </c>
      <c r="I94" s="200">
        <v>300000</v>
      </c>
      <c r="J94" s="215" t="s">
        <v>619</v>
      </c>
      <c r="K94" s="378">
        <v>2</v>
      </c>
      <c r="L94" s="310">
        <v>3000</v>
      </c>
      <c r="M94" s="640">
        <v>1991</v>
      </c>
      <c r="N94" s="240"/>
    </row>
    <row r="95" spans="1:14" s="194" customFormat="1" ht="33" customHeight="1" x14ac:dyDescent="0.4">
      <c r="A95" s="261">
        <v>139</v>
      </c>
      <c r="B95" s="262" t="s">
        <v>111</v>
      </c>
      <c r="C95" s="193" t="s">
        <v>630</v>
      </c>
      <c r="D95" s="241" t="s">
        <v>16</v>
      </c>
      <c r="E95" s="261" t="s">
        <v>16</v>
      </c>
      <c r="F95" s="258" t="s">
        <v>414</v>
      </c>
      <c r="G95" s="347" t="s">
        <v>412</v>
      </c>
      <c r="H95" s="265">
        <v>80000</v>
      </c>
      <c r="I95" s="200">
        <v>170000</v>
      </c>
      <c r="J95" s="215" t="s">
        <v>629</v>
      </c>
      <c r="K95" s="378"/>
      <c r="L95" s="310"/>
      <c r="M95" s="392" t="s">
        <v>397</v>
      </c>
      <c r="N95" s="240"/>
    </row>
    <row r="96" spans="1:14" s="194" customFormat="1" ht="33" customHeight="1" x14ac:dyDescent="0.4">
      <c r="A96" s="261">
        <v>162</v>
      </c>
      <c r="B96" s="262" t="s">
        <v>489</v>
      </c>
      <c r="C96" s="193" t="s">
        <v>640</v>
      </c>
      <c r="D96" s="241" t="s">
        <v>11</v>
      </c>
      <c r="E96" s="261" t="s">
        <v>105</v>
      </c>
      <c r="F96" s="258" t="s">
        <v>918</v>
      </c>
      <c r="G96" s="264" t="s">
        <v>540</v>
      </c>
      <c r="H96" s="265">
        <v>69000</v>
      </c>
      <c r="I96" s="200">
        <v>190000</v>
      </c>
      <c r="J96" s="215" t="s">
        <v>641</v>
      </c>
      <c r="K96" s="345">
        <v>1.5</v>
      </c>
      <c r="L96" s="251">
        <v>4500</v>
      </c>
      <c r="M96" s="633">
        <v>1996</v>
      </c>
      <c r="N96" s="240"/>
    </row>
    <row r="97" spans="1:16" s="194" customFormat="1" ht="33" customHeight="1" x14ac:dyDescent="0.4">
      <c r="A97" s="261">
        <v>148</v>
      </c>
      <c r="B97" s="262" t="s">
        <v>489</v>
      </c>
      <c r="C97" s="193" t="s">
        <v>643</v>
      </c>
      <c r="D97" s="241" t="s">
        <v>11</v>
      </c>
      <c r="E97" s="261" t="s">
        <v>105</v>
      </c>
      <c r="F97" s="258" t="s">
        <v>491</v>
      </c>
      <c r="G97" s="347" t="s">
        <v>492</v>
      </c>
      <c r="H97" s="265">
        <v>85000</v>
      </c>
      <c r="I97" s="200">
        <v>155000</v>
      </c>
      <c r="J97" s="215" t="s">
        <v>644</v>
      </c>
      <c r="K97" s="348">
        <v>1.5</v>
      </c>
      <c r="L97" s="349">
        <v>5000</v>
      </c>
      <c r="M97" s="392"/>
      <c r="N97" s="240"/>
    </row>
    <row r="98" spans="1:16" s="194" customFormat="1" ht="33" customHeight="1" x14ac:dyDescent="0.4">
      <c r="A98" s="261">
        <v>186</v>
      </c>
      <c r="B98" s="262" t="s">
        <v>489</v>
      </c>
      <c r="C98" s="193" t="s">
        <v>659</v>
      </c>
      <c r="D98" s="241" t="s">
        <v>9</v>
      </c>
      <c r="E98" s="261" t="s">
        <v>105</v>
      </c>
      <c r="F98" s="258" t="s">
        <v>664</v>
      </c>
      <c r="G98" s="264" t="s">
        <v>650</v>
      </c>
      <c r="H98" s="265">
        <v>620000</v>
      </c>
      <c r="I98" s="200">
        <v>720000</v>
      </c>
      <c r="J98" s="215" t="s">
        <v>660</v>
      </c>
      <c r="K98" s="345">
        <v>4.5</v>
      </c>
      <c r="L98" s="251">
        <v>4000</v>
      </c>
      <c r="M98" s="633"/>
      <c r="N98" s="240"/>
    </row>
    <row r="99" spans="1:16" s="194" customFormat="1" ht="33" customHeight="1" x14ac:dyDescent="0.4">
      <c r="A99" s="261">
        <v>65</v>
      </c>
      <c r="B99" s="262" t="s">
        <v>8</v>
      </c>
      <c r="C99" s="193" t="s">
        <v>646</v>
      </c>
      <c r="D99" s="241" t="s">
        <v>11</v>
      </c>
      <c r="E99" s="261" t="s">
        <v>105</v>
      </c>
      <c r="F99" s="258" t="s">
        <v>652</v>
      </c>
      <c r="G99" s="264">
        <v>41428</v>
      </c>
      <c r="H99" s="265">
        <v>120000</v>
      </c>
      <c r="I99" s="200">
        <v>150000</v>
      </c>
      <c r="J99" s="215" t="s">
        <v>654</v>
      </c>
      <c r="K99" s="266">
        <v>1.5</v>
      </c>
      <c r="L99" s="267">
        <v>4300</v>
      </c>
      <c r="M99" s="392" t="s">
        <v>653</v>
      </c>
      <c r="N99" s="261" t="s">
        <v>474</v>
      </c>
    </row>
    <row r="100" spans="1:16" s="194" customFormat="1" ht="33" customHeight="1" x14ac:dyDescent="0.4">
      <c r="A100" s="221">
        <v>184</v>
      </c>
      <c r="B100" s="244" t="s">
        <v>489</v>
      </c>
      <c r="C100" s="193" t="s">
        <v>662</v>
      </c>
      <c r="D100" s="238" t="s">
        <v>14</v>
      </c>
      <c r="E100" s="221" t="s">
        <v>105</v>
      </c>
      <c r="F100" s="239" t="s">
        <v>1380</v>
      </c>
      <c r="G100" s="221" t="s">
        <v>636</v>
      </c>
      <c r="H100" s="250">
        <v>120000</v>
      </c>
      <c r="I100" s="200">
        <v>180000</v>
      </c>
      <c r="J100" s="215" t="s">
        <v>663</v>
      </c>
      <c r="K100" s="386">
        <v>2</v>
      </c>
      <c r="L100" s="387">
        <v>3000</v>
      </c>
      <c r="M100" s="631" t="s">
        <v>637</v>
      </c>
      <c r="N100" s="240"/>
    </row>
    <row r="101" spans="1:16" s="194" customFormat="1" ht="33" customHeight="1" x14ac:dyDescent="0.4">
      <c r="A101" s="261">
        <v>175</v>
      </c>
      <c r="B101" s="262" t="s">
        <v>489</v>
      </c>
      <c r="C101" s="193" t="s">
        <v>670</v>
      </c>
      <c r="D101" s="241" t="s">
        <v>11</v>
      </c>
      <c r="E101" s="261" t="s">
        <v>105</v>
      </c>
      <c r="F101" s="258" t="s">
        <v>596</v>
      </c>
      <c r="G101" s="264" t="s">
        <v>593</v>
      </c>
      <c r="H101" s="265">
        <v>80000</v>
      </c>
      <c r="I101" s="200">
        <v>130000</v>
      </c>
      <c r="J101" s="215" t="s">
        <v>671</v>
      </c>
      <c r="K101" s="345">
        <v>1.4</v>
      </c>
      <c r="L101" s="251">
        <v>3000</v>
      </c>
      <c r="M101" s="633" t="s">
        <v>602</v>
      </c>
      <c r="N101" s="240"/>
    </row>
    <row r="102" spans="1:16" s="194" customFormat="1" ht="33" customHeight="1" x14ac:dyDescent="0.4">
      <c r="A102" s="241">
        <v>12</v>
      </c>
      <c r="B102" s="241" t="s">
        <v>8</v>
      </c>
      <c r="C102" s="193" t="s">
        <v>668</v>
      </c>
      <c r="D102" s="241" t="s">
        <v>9</v>
      </c>
      <c r="E102" s="241" t="s">
        <v>105</v>
      </c>
      <c r="F102" s="388" t="s">
        <v>667</v>
      </c>
      <c r="G102" s="241" t="s">
        <v>211</v>
      </c>
      <c r="H102" s="265">
        <v>315000</v>
      </c>
      <c r="I102" s="200">
        <v>276000</v>
      </c>
      <c r="J102" s="215" t="s">
        <v>669</v>
      </c>
      <c r="K102" s="241">
        <v>2.5</v>
      </c>
      <c r="L102" s="241">
        <v>4000</v>
      </c>
      <c r="M102" s="334" t="s">
        <v>377</v>
      </c>
      <c r="N102" s="221" t="s">
        <v>661</v>
      </c>
    </row>
    <row r="103" spans="1:16" s="194" customFormat="1" ht="33" customHeight="1" x14ac:dyDescent="0.4">
      <c r="A103" s="261">
        <v>169</v>
      </c>
      <c r="B103" s="262" t="s">
        <v>569</v>
      </c>
      <c r="C103" s="193" t="s">
        <v>678</v>
      </c>
      <c r="D103" s="241" t="s">
        <v>9</v>
      </c>
      <c r="E103" s="261" t="s">
        <v>135</v>
      </c>
      <c r="F103" s="258" t="s">
        <v>682</v>
      </c>
      <c r="G103" s="264" t="s">
        <v>580</v>
      </c>
      <c r="H103" s="265">
        <v>110000</v>
      </c>
      <c r="I103" s="200">
        <v>120000</v>
      </c>
      <c r="J103" s="215" t="s">
        <v>677</v>
      </c>
      <c r="K103" s="345">
        <v>2.5</v>
      </c>
      <c r="L103" s="389">
        <v>3500</v>
      </c>
      <c r="M103" s="641" t="s">
        <v>581</v>
      </c>
      <c r="N103" s="240"/>
    </row>
    <row r="104" spans="1:16" s="194" customFormat="1" ht="33" customHeight="1" x14ac:dyDescent="0.4">
      <c r="A104" s="261">
        <v>176</v>
      </c>
      <c r="B104" s="262" t="s">
        <v>489</v>
      </c>
      <c r="C104" s="193" t="s">
        <v>672</v>
      </c>
      <c r="D104" s="241" t="s">
        <v>11</v>
      </c>
      <c r="E104" s="261" t="s">
        <v>105</v>
      </c>
      <c r="F104" s="258" t="s">
        <v>597</v>
      </c>
      <c r="G104" s="264" t="s">
        <v>593</v>
      </c>
      <c r="H104" s="265">
        <v>80000</v>
      </c>
      <c r="I104" s="200">
        <v>120000</v>
      </c>
      <c r="J104" s="215" t="s">
        <v>673</v>
      </c>
      <c r="K104" s="345">
        <v>1.5</v>
      </c>
      <c r="L104" s="251">
        <v>3000</v>
      </c>
      <c r="M104" s="633" t="s">
        <v>603</v>
      </c>
      <c r="N104" s="240"/>
    </row>
    <row r="105" spans="1:16" s="393" customFormat="1" ht="32.25" customHeight="1" x14ac:dyDescent="0.4">
      <c r="A105" s="221">
        <v>118</v>
      </c>
      <c r="B105" s="244" t="s">
        <v>8</v>
      </c>
      <c r="C105" s="193" t="s">
        <v>674</v>
      </c>
      <c r="D105" s="314" t="s">
        <v>9</v>
      </c>
      <c r="E105" s="314" t="s">
        <v>105</v>
      </c>
      <c r="F105" s="316" t="s">
        <v>3147</v>
      </c>
      <c r="G105" s="314" t="s">
        <v>272</v>
      </c>
      <c r="H105" s="307">
        <v>440000</v>
      </c>
      <c r="I105" s="200">
        <v>400000</v>
      </c>
      <c r="J105" s="215" t="s">
        <v>673</v>
      </c>
      <c r="K105" s="247">
        <v>2.5</v>
      </c>
      <c r="L105" s="310">
        <v>4000</v>
      </c>
      <c r="M105" s="333" t="s">
        <v>3146</v>
      </c>
      <c r="N105" s="261"/>
      <c r="O105" s="318"/>
      <c r="P105" s="318"/>
    </row>
    <row r="106" spans="1:16" s="194" customFormat="1" ht="33" customHeight="1" x14ac:dyDescent="0.4">
      <c r="A106" s="262">
        <v>76</v>
      </c>
      <c r="B106" s="241" t="s">
        <v>128</v>
      </c>
      <c r="C106" s="193" t="s">
        <v>678</v>
      </c>
      <c r="D106" s="279" t="s">
        <v>9</v>
      </c>
      <c r="E106" s="334" t="s">
        <v>106</v>
      </c>
      <c r="F106" s="390" t="s">
        <v>681</v>
      </c>
      <c r="G106" s="391">
        <v>41576</v>
      </c>
      <c r="H106" s="265">
        <v>115000</v>
      </c>
      <c r="I106" s="200">
        <v>120000</v>
      </c>
      <c r="J106" s="215" t="s">
        <v>679</v>
      </c>
      <c r="K106" s="345">
        <v>2.5</v>
      </c>
      <c r="L106" s="267">
        <v>4800</v>
      </c>
      <c r="M106" s="392" t="s">
        <v>390</v>
      </c>
      <c r="N106" s="240"/>
    </row>
    <row r="107" spans="1:16" s="194" customFormat="1" ht="33" customHeight="1" x14ac:dyDescent="0.4">
      <c r="A107" s="261">
        <v>54</v>
      </c>
      <c r="B107" s="262" t="s">
        <v>111</v>
      </c>
      <c r="C107" s="193" t="s">
        <v>678</v>
      </c>
      <c r="D107" s="241" t="s">
        <v>9</v>
      </c>
      <c r="E107" s="261" t="s">
        <v>105</v>
      </c>
      <c r="F107" s="263" t="s">
        <v>680</v>
      </c>
      <c r="G107" s="264">
        <v>41373</v>
      </c>
      <c r="H107" s="265">
        <v>200000</v>
      </c>
      <c r="I107" s="200">
        <v>120000</v>
      </c>
      <c r="J107" s="215" t="s">
        <v>679</v>
      </c>
      <c r="K107" s="266">
        <v>1.5</v>
      </c>
      <c r="L107" s="267">
        <v>5000</v>
      </c>
      <c r="M107" s="392" t="s">
        <v>609</v>
      </c>
      <c r="N107" s="261" t="s">
        <v>10</v>
      </c>
    </row>
    <row r="108" spans="1:16" s="194" customFormat="1" ht="33" customHeight="1" x14ac:dyDescent="0.4">
      <c r="A108" s="221">
        <v>145</v>
      </c>
      <c r="B108" s="244" t="s">
        <v>111</v>
      </c>
      <c r="C108" s="193" t="s">
        <v>684</v>
      </c>
      <c r="D108" s="241" t="s">
        <v>14</v>
      </c>
      <c r="E108" s="261" t="s">
        <v>105</v>
      </c>
      <c r="F108" s="258" t="s">
        <v>683</v>
      </c>
      <c r="G108" s="264" t="s">
        <v>469</v>
      </c>
      <c r="H108" s="265">
        <v>180000</v>
      </c>
      <c r="I108" s="200">
        <v>230000</v>
      </c>
      <c r="J108" s="215" t="s">
        <v>685</v>
      </c>
      <c r="K108" s="345">
        <v>1.5</v>
      </c>
      <c r="L108" s="251">
        <v>3000</v>
      </c>
      <c r="M108" s="633" t="s">
        <v>470</v>
      </c>
      <c r="N108" s="261" t="s">
        <v>10</v>
      </c>
    </row>
    <row r="109" spans="1:16" s="194" customFormat="1" ht="33" customHeight="1" x14ac:dyDescent="0.4">
      <c r="A109" s="261">
        <v>189</v>
      </c>
      <c r="B109" s="262" t="s">
        <v>686</v>
      </c>
      <c r="C109" s="193" t="s">
        <v>692</v>
      </c>
      <c r="D109" s="241" t="s">
        <v>687</v>
      </c>
      <c r="E109" s="261" t="s">
        <v>688</v>
      </c>
      <c r="F109" s="258" t="s">
        <v>1578</v>
      </c>
      <c r="G109" s="264" t="s">
        <v>689</v>
      </c>
      <c r="H109" s="265">
        <v>910000</v>
      </c>
      <c r="I109" s="200">
        <v>1280000</v>
      </c>
      <c r="J109" s="215" t="s">
        <v>693</v>
      </c>
      <c r="K109" s="345">
        <v>8</v>
      </c>
      <c r="L109" s="251"/>
      <c r="M109" s="633"/>
      <c r="N109" s="261" t="s">
        <v>10</v>
      </c>
    </row>
    <row r="110" spans="1:16" s="194" customFormat="1" ht="33" customHeight="1" x14ac:dyDescent="0.4">
      <c r="A110" s="261">
        <v>178</v>
      </c>
      <c r="B110" s="262" t="s">
        <v>583</v>
      </c>
      <c r="C110" s="193" t="s">
        <v>678</v>
      </c>
      <c r="D110" s="241" t="s">
        <v>9</v>
      </c>
      <c r="E110" s="261" t="s">
        <v>135</v>
      </c>
      <c r="F110" s="258" t="s">
        <v>675</v>
      </c>
      <c r="G110" s="264" t="s">
        <v>623</v>
      </c>
      <c r="H110" s="265">
        <v>110000</v>
      </c>
      <c r="I110" s="200">
        <v>120000</v>
      </c>
      <c r="J110" s="215" t="s">
        <v>676</v>
      </c>
      <c r="K110" s="345">
        <v>2.5</v>
      </c>
      <c r="L110" s="389">
        <v>3000</v>
      </c>
      <c r="M110" s="641">
        <v>1999</v>
      </c>
      <c r="N110" s="240"/>
    </row>
    <row r="111" spans="1:16" s="329" customFormat="1" ht="32.25" customHeight="1" x14ac:dyDescent="0.4">
      <c r="A111" s="320">
        <v>179</v>
      </c>
      <c r="B111" s="321" t="s">
        <v>489</v>
      </c>
      <c r="C111" s="322" t="s">
        <v>703</v>
      </c>
      <c r="D111" s="322" t="s">
        <v>9</v>
      </c>
      <c r="E111" s="320" t="s">
        <v>105</v>
      </c>
      <c r="F111" s="323" t="s">
        <v>614</v>
      </c>
      <c r="G111" s="324" t="s">
        <v>615</v>
      </c>
      <c r="H111" s="325">
        <v>150000</v>
      </c>
      <c r="I111" s="322">
        <v>150000</v>
      </c>
      <c r="J111" s="322" t="s">
        <v>704</v>
      </c>
      <c r="K111" s="326">
        <v>2.5</v>
      </c>
      <c r="L111" s="327">
        <v>3000</v>
      </c>
      <c r="M111" s="642">
        <v>1993</v>
      </c>
      <c r="N111" s="320" t="s">
        <v>10</v>
      </c>
      <c r="O111" s="328"/>
      <c r="P111" s="328"/>
    </row>
    <row r="112" spans="1:16" s="113" customFormat="1" ht="32.25" customHeight="1" x14ac:dyDescent="0.4">
      <c r="A112" s="261">
        <v>100</v>
      </c>
      <c r="B112" s="262" t="s">
        <v>186</v>
      </c>
      <c r="C112" s="193" t="s">
        <v>684</v>
      </c>
      <c r="D112" s="241" t="s">
        <v>14</v>
      </c>
      <c r="E112" s="261" t="s">
        <v>105</v>
      </c>
      <c r="F112" s="258" t="s">
        <v>711</v>
      </c>
      <c r="G112" s="264" t="s">
        <v>198</v>
      </c>
      <c r="H112" s="265">
        <v>140000</v>
      </c>
      <c r="I112" s="200">
        <v>170000</v>
      </c>
      <c r="J112" s="215" t="s">
        <v>709</v>
      </c>
      <c r="K112" s="262">
        <v>1.5</v>
      </c>
      <c r="L112" s="241">
        <v>3000</v>
      </c>
      <c r="M112" s="279">
        <v>35217</v>
      </c>
      <c r="N112" s="261"/>
      <c r="O112" s="2"/>
      <c r="P112" s="2"/>
    </row>
    <row r="113" spans="1:16" s="194" customFormat="1" ht="33" customHeight="1" x14ac:dyDescent="0.4">
      <c r="A113" s="261">
        <v>194</v>
      </c>
      <c r="B113" s="262" t="s">
        <v>489</v>
      </c>
      <c r="C113" s="193" t="s">
        <v>712</v>
      </c>
      <c r="D113" s="241" t="s">
        <v>11</v>
      </c>
      <c r="E113" s="261" t="s">
        <v>105</v>
      </c>
      <c r="F113" s="258" t="s">
        <v>706</v>
      </c>
      <c r="G113" s="264" t="s">
        <v>705</v>
      </c>
      <c r="H113" s="265">
        <v>75000</v>
      </c>
      <c r="I113" s="200">
        <v>93333</v>
      </c>
      <c r="J113" s="215" t="s">
        <v>713</v>
      </c>
      <c r="K113" s="345">
        <v>1.3</v>
      </c>
      <c r="L113" s="241"/>
      <c r="M113" s="279"/>
      <c r="N113" s="261"/>
    </row>
    <row r="114" spans="1:16" s="194" customFormat="1" ht="33" customHeight="1" x14ac:dyDescent="0.4">
      <c r="A114" s="261">
        <v>195</v>
      </c>
      <c r="B114" s="262" t="s">
        <v>489</v>
      </c>
      <c r="C114" s="193" t="s">
        <v>712</v>
      </c>
      <c r="D114" s="241" t="s">
        <v>11</v>
      </c>
      <c r="E114" s="261" t="s">
        <v>105</v>
      </c>
      <c r="F114" s="258" t="s">
        <v>707</v>
      </c>
      <c r="G114" s="264" t="s">
        <v>705</v>
      </c>
      <c r="H114" s="265">
        <v>75000</v>
      </c>
      <c r="I114" s="200">
        <v>93333</v>
      </c>
      <c r="J114" s="215" t="s">
        <v>713</v>
      </c>
      <c r="K114" s="345">
        <v>1.3</v>
      </c>
      <c r="L114" s="241"/>
      <c r="M114" s="279"/>
      <c r="N114" s="261"/>
    </row>
    <row r="115" spans="1:16" s="194" customFormat="1" ht="33" customHeight="1" x14ac:dyDescent="0.4">
      <c r="A115" s="261">
        <v>196</v>
      </c>
      <c r="B115" s="262" t="s">
        <v>489</v>
      </c>
      <c r="C115" s="193" t="s">
        <v>712</v>
      </c>
      <c r="D115" s="241" t="s">
        <v>11</v>
      </c>
      <c r="E115" s="261" t="s">
        <v>105</v>
      </c>
      <c r="F115" s="258" t="s">
        <v>708</v>
      </c>
      <c r="G115" s="264" t="s">
        <v>705</v>
      </c>
      <c r="H115" s="265">
        <v>75000</v>
      </c>
      <c r="I115" s="200">
        <v>93333</v>
      </c>
      <c r="J115" s="215" t="s">
        <v>713</v>
      </c>
      <c r="K115" s="345">
        <v>1.3</v>
      </c>
      <c r="L115" s="241"/>
      <c r="M115" s="279"/>
      <c r="N115" s="261"/>
    </row>
    <row r="116" spans="1:16" s="393" customFormat="1" ht="32.25" customHeight="1" x14ac:dyDescent="0.4">
      <c r="A116" s="262">
        <v>44</v>
      </c>
      <c r="B116" s="262" t="s">
        <v>85</v>
      </c>
      <c r="C116" s="193" t="s">
        <v>714</v>
      </c>
      <c r="D116" s="261" t="s">
        <v>9</v>
      </c>
      <c r="E116" s="453" t="s">
        <v>106</v>
      </c>
      <c r="F116" s="454" t="s">
        <v>210</v>
      </c>
      <c r="G116" s="264" t="s">
        <v>715</v>
      </c>
      <c r="H116" s="265">
        <v>245000</v>
      </c>
      <c r="I116" s="200">
        <v>142857</v>
      </c>
      <c r="J116" s="215" t="s">
        <v>716</v>
      </c>
      <c r="K116" s="378">
        <v>2.5</v>
      </c>
      <c r="L116" s="310">
        <v>3000</v>
      </c>
      <c r="M116" s="640" t="s">
        <v>382</v>
      </c>
      <c r="N116" s="261" t="s">
        <v>10</v>
      </c>
      <c r="O116" s="318"/>
      <c r="P116" s="318"/>
    </row>
    <row r="117" spans="1:16" s="393" customFormat="1" ht="32.25" customHeight="1" x14ac:dyDescent="0.4">
      <c r="A117" s="261">
        <v>198</v>
      </c>
      <c r="B117" s="262" t="s">
        <v>489</v>
      </c>
      <c r="C117" s="193" t="s">
        <v>717</v>
      </c>
      <c r="D117" s="241" t="s">
        <v>11</v>
      </c>
      <c r="E117" s="261" t="s">
        <v>105</v>
      </c>
      <c r="F117" s="377" t="s">
        <v>1354</v>
      </c>
      <c r="G117" s="264" t="s">
        <v>718</v>
      </c>
      <c r="H117" s="265">
        <v>310000</v>
      </c>
      <c r="I117" s="200">
        <v>450000</v>
      </c>
      <c r="J117" s="215" t="s">
        <v>719</v>
      </c>
      <c r="K117" s="345">
        <v>1.3</v>
      </c>
      <c r="L117" s="251">
        <v>6000</v>
      </c>
      <c r="M117" s="633" t="s">
        <v>720</v>
      </c>
      <c r="N117" s="261" t="s">
        <v>721</v>
      </c>
      <c r="O117" s="318"/>
      <c r="P117" s="318"/>
    </row>
    <row r="118" spans="1:16" s="393" customFormat="1" ht="32.25" customHeight="1" x14ac:dyDescent="0.4">
      <c r="A118" s="261">
        <v>190</v>
      </c>
      <c r="B118" s="262" t="s">
        <v>489</v>
      </c>
      <c r="C118" s="193" t="s">
        <v>178</v>
      </c>
      <c r="D118" s="241" t="s">
        <v>11</v>
      </c>
      <c r="E118" s="261" t="s">
        <v>105</v>
      </c>
      <c r="F118" s="258" t="s">
        <v>690</v>
      </c>
      <c r="G118" s="264" t="s">
        <v>691</v>
      </c>
      <c r="H118" s="265">
        <v>80000</v>
      </c>
      <c r="I118" s="200">
        <v>145000</v>
      </c>
      <c r="J118" s="215" t="s">
        <v>729</v>
      </c>
      <c r="K118" s="345">
        <v>0.9</v>
      </c>
      <c r="L118" s="251">
        <v>3000</v>
      </c>
      <c r="M118" s="633">
        <v>1996</v>
      </c>
      <c r="N118" s="261" t="s">
        <v>730</v>
      </c>
      <c r="O118" s="318"/>
      <c r="P118" s="318"/>
    </row>
    <row r="119" spans="1:16" s="393" customFormat="1" ht="32.25" customHeight="1" x14ac:dyDescent="0.4">
      <c r="A119" s="261">
        <v>199</v>
      </c>
      <c r="B119" s="262" t="s">
        <v>489</v>
      </c>
      <c r="C119" s="193" t="s">
        <v>735</v>
      </c>
      <c r="D119" s="241" t="s">
        <v>11</v>
      </c>
      <c r="E119" s="261" t="s">
        <v>105</v>
      </c>
      <c r="F119" s="258" t="s">
        <v>722</v>
      </c>
      <c r="G119" s="264" t="s">
        <v>723</v>
      </c>
      <c r="H119" s="265">
        <v>80000</v>
      </c>
      <c r="I119" s="200">
        <v>140000</v>
      </c>
      <c r="J119" s="215" t="s">
        <v>736</v>
      </c>
      <c r="K119" s="345">
        <v>1.5</v>
      </c>
      <c r="L119" s="251">
        <v>3000</v>
      </c>
      <c r="M119" s="638" t="s">
        <v>726</v>
      </c>
      <c r="N119" s="261" t="s">
        <v>738</v>
      </c>
      <c r="O119" s="318"/>
      <c r="P119" s="318"/>
    </row>
    <row r="120" spans="1:16" s="393" customFormat="1" ht="32.25" customHeight="1" x14ac:dyDescent="0.4">
      <c r="A120" s="261">
        <v>193</v>
      </c>
      <c r="B120" s="262" t="s">
        <v>489</v>
      </c>
      <c r="C120" s="193" t="s">
        <v>659</v>
      </c>
      <c r="D120" s="241" t="s">
        <v>9</v>
      </c>
      <c r="E120" s="261" t="s">
        <v>103</v>
      </c>
      <c r="F120" s="258" t="s">
        <v>737</v>
      </c>
      <c r="G120" s="264" t="s">
        <v>705</v>
      </c>
      <c r="H120" s="265">
        <v>400000</v>
      </c>
      <c r="I120" s="200">
        <v>550000</v>
      </c>
      <c r="J120" s="215" t="s">
        <v>739</v>
      </c>
      <c r="K120" s="345">
        <v>4</v>
      </c>
      <c r="L120" s="251">
        <v>3000</v>
      </c>
      <c r="M120" s="633" t="s">
        <v>728</v>
      </c>
      <c r="N120" s="261" t="s">
        <v>730</v>
      </c>
      <c r="O120" s="318"/>
      <c r="P120" s="318"/>
    </row>
    <row r="121" spans="1:16" s="393" customFormat="1" ht="32.25" customHeight="1" x14ac:dyDescent="0.4">
      <c r="A121" s="261">
        <v>185</v>
      </c>
      <c r="B121" s="262" t="s">
        <v>284</v>
      </c>
      <c r="C121" s="193" t="s">
        <v>742</v>
      </c>
      <c r="D121" s="241" t="s">
        <v>16</v>
      </c>
      <c r="E121" s="261" t="s">
        <v>16</v>
      </c>
      <c r="F121" s="258" t="s">
        <v>645</v>
      </c>
      <c r="G121" s="347" t="s">
        <v>638</v>
      </c>
      <c r="H121" s="265">
        <v>110000</v>
      </c>
      <c r="I121" s="200">
        <v>170000</v>
      </c>
      <c r="J121" s="215" t="s">
        <v>743</v>
      </c>
      <c r="K121" s="345"/>
      <c r="L121" s="251"/>
      <c r="M121" s="392" t="s">
        <v>639</v>
      </c>
      <c r="N121" s="261" t="s">
        <v>666</v>
      </c>
      <c r="O121" s="318"/>
      <c r="P121" s="318"/>
    </row>
    <row r="122" spans="1:16" s="393" customFormat="1" ht="32.25" customHeight="1" x14ac:dyDescent="0.4">
      <c r="A122" s="261">
        <v>203</v>
      </c>
      <c r="B122" s="262" t="s">
        <v>2503</v>
      </c>
      <c r="C122" s="193" t="s">
        <v>742</v>
      </c>
      <c r="D122" s="241" t="s">
        <v>731</v>
      </c>
      <c r="E122" s="261" t="s">
        <v>732</v>
      </c>
      <c r="F122" s="258" t="s">
        <v>733</v>
      </c>
      <c r="G122" s="264" t="s">
        <v>734</v>
      </c>
      <c r="H122" s="265">
        <v>210000</v>
      </c>
      <c r="I122" s="200">
        <v>370000</v>
      </c>
      <c r="J122" s="215" t="s">
        <v>743</v>
      </c>
      <c r="K122" s="459">
        <v>0.23</v>
      </c>
      <c r="L122" s="251">
        <v>5800</v>
      </c>
      <c r="M122" s="638" t="s">
        <v>740</v>
      </c>
      <c r="N122" s="261" t="s">
        <v>744</v>
      </c>
      <c r="O122" s="318"/>
      <c r="P122" s="318"/>
    </row>
    <row r="123" spans="1:16" s="393" customFormat="1" ht="32.25" customHeight="1" x14ac:dyDescent="0.4">
      <c r="A123" s="261">
        <v>197</v>
      </c>
      <c r="B123" s="262" t="s">
        <v>684</v>
      </c>
      <c r="C123" s="193" t="s">
        <v>757</v>
      </c>
      <c r="D123" s="241" t="s">
        <v>9</v>
      </c>
      <c r="E123" s="261" t="s">
        <v>108</v>
      </c>
      <c r="F123" s="258"/>
      <c r="G123" s="264" t="s">
        <v>710</v>
      </c>
      <c r="H123" s="265"/>
      <c r="I123" s="200">
        <v>15000</v>
      </c>
      <c r="J123" s="215"/>
      <c r="K123" s="345"/>
      <c r="L123" s="251">
        <v>6000</v>
      </c>
      <c r="M123" s="392"/>
      <c r="N123" s="261"/>
      <c r="O123" s="318"/>
      <c r="P123" s="318"/>
    </row>
    <row r="124" spans="1:16" s="393" customFormat="1" ht="32.25" customHeight="1" x14ac:dyDescent="0.4">
      <c r="A124" s="221">
        <v>161</v>
      </c>
      <c r="B124" s="244" t="s">
        <v>489</v>
      </c>
      <c r="C124" s="193" t="s">
        <v>758</v>
      </c>
      <c r="D124" s="238" t="s">
        <v>11</v>
      </c>
      <c r="E124" s="221" t="s">
        <v>105</v>
      </c>
      <c r="F124" s="239" t="s">
        <v>749</v>
      </c>
      <c r="G124" s="221" t="s">
        <v>540</v>
      </c>
      <c r="H124" s="250">
        <v>90000</v>
      </c>
      <c r="I124" s="200">
        <v>150000</v>
      </c>
      <c r="J124" s="215" t="s">
        <v>750</v>
      </c>
      <c r="K124" s="386">
        <v>1.5</v>
      </c>
      <c r="L124" s="387">
        <v>3000</v>
      </c>
      <c r="M124" s="631" t="s">
        <v>542</v>
      </c>
      <c r="N124" s="261"/>
      <c r="O124" s="318" t="s">
        <v>771</v>
      </c>
      <c r="P124" s="318"/>
    </row>
    <row r="125" spans="1:16" s="393" customFormat="1" ht="32.25" customHeight="1" x14ac:dyDescent="0.4">
      <c r="A125" s="261">
        <v>210</v>
      </c>
      <c r="B125" s="262" t="s">
        <v>768</v>
      </c>
      <c r="C125" s="193" t="s">
        <v>770</v>
      </c>
      <c r="D125" s="241" t="s">
        <v>483</v>
      </c>
      <c r="E125" s="261" t="s">
        <v>769</v>
      </c>
      <c r="F125" s="258" t="s">
        <v>805</v>
      </c>
      <c r="G125" s="264" t="s">
        <v>806</v>
      </c>
      <c r="H125" s="265">
        <v>820000</v>
      </c>
      <c r="I125" s="200">
        <v>980000</v>
      </c>
      <c r="J125" s="215" t="s">
        <v>807</v>
      </c>
      <c r="K125" s="345">
        <v>2.5</v>
      </c>
      <c r="L125" s="251">
        <v>4700</v>
      </c>
      <c r="M125" s="633" t="s">
        <v>891</v>
      </c>
      <c r="N125" s="261" t="s">
        <v>804</v>
      </c>
      <c r="O125" s="318"/>
      <c r="P125" s="318"/>
    </row>
    <row r="126" spans="1:16" s="393" customFormat="1" ht="42.75" customHeight="1" x14ac:dyDescent="0.4">
      <c r="A126" s="261">
        <v>101</v>
      </c>
      <c r="B126" s="262" t="s">
        <v>232</v>
      </c>
      <c r="C126" s="201" t="s">
        <v>791</v>
      </c>
      <c r="D126" s="241" t="s">
        <v>240</v>
      </c>
      <c r="E126" s="261" t="s">
        <v>573</v>
      </c>
      <c r="F126" s="258" t="s">
        <v>610</v>
      </c>
      <c r="G126" s="264" t="s">
        <v>572</v>
      </c>
      <c r="H126" s="265">
        <v>135000</v>
      </c>
      <c r="I126" s="200">
        <v>160000</v>
      </c>
      <c r="J126" s="215" t="s">
        <v>2184</v>
      </c>
      <c r="K126" s="262">
        <v>1.5</v>
      </c>
      <c r="L126" s="241">
        <v>3000</v>
      </c>
      <c r="M126" s="643" t="s">
        <v>788</v>
      </c>
      <c r="N126" s="261"/>
      <c r="O126" s="318"/>
      <c r="P126" s="318"/>
    </row>
    <row r="127" spans="1:16" s="393" customFormat="1" ht="32.25" customHeight="1" x14ac:dyDescent="0.4">
      <c r="A127" s="261">
        <v>209</v>
      </c>
      <c r="B127" s="262" t="s">
        <v>584</v>
      </c>
      <c r="C127" s="193" t="s">
        <v>792</v>
      </c>
      <c r="D127" s="241" t="s">
        <v>240</v>
      </c>
      <c r="E127" s="261" t="s">
        <v>105</v>
      </c>
      <c r="F127" s="258" t="s">
        <v>1120</v>
      </c>
      <c r="G127" s="264" t="s">
        <v>761</v>
      </c>
      <c r="H127" s="265">
        <v>260000</v>
      </c>
      <c r="I127" s="200">
        <v>370000</v>
      </c>
      <c r="J127" s="215" t="s">
        <v>793</v>
      </c>
      <c r="K127" s="345">
        <v>2.5</v>
      </c>
      <c r="L127" s="251">
        <v>4500</v>
      </c>
      <c r="M127" s="633"/>
      <c r="N127" s="261" t="s">
        <v>804</v>
      </c>
      <c r="O127" s="318"/>
      <c r="P127" s="318"/>
    </row>
    <row r="128" spans="1:16" s="393" customFormat="1" ht="32.25" customHeight="1" x14ac:dyDescent="0.4">
      <c r="A128" s="261">
        <v>212</v>
      </c>
      <c r="B128" s="262" t="s">
        <v>686</v>
      </c>
      <c r="C128" s="193" t="s">
        <v>802</v>
      </c>
      <c r="D128" s="241" t="s">
        <v>9</v>
      </c>
      <c r="E128" s="261" t="s">
        <v>105</v>
      </c>
      <c r="F128" s="258" t="s">
        <v>790</v>
      </c>
      <c r="G128" s="264" t="s">
        <v>784</v>
      </c>
      <c r="H128" s="265">
        <v>200000</v>
      </c>
      <c r="I128" s="200">
        <v>260000</v>
      </c>
      <c r="J128" s="215" t="s">
        <v>803</v>
      </c>
      <c r="K128" s="345">
        <v>2.5</v>
      </c>
      <c r="L128" s="251">
        <v>3000</v>
      </c>
      <c r="M128" s="633"/>
      <c r="N128" s="261" t="s">
        <v>804</v>
      </c>
      <c r="O128" s="318"/>
      <c r="P128" s="318"/>
    </row>
    <row r="129" spans="1:16" s="393" customFormat="1" ht="32.25" customHeight="1" x14ac:dyDescent="0.4">
      <c r="A129" s="221">
        <v>34</v>
      </c>
      <c r="B129" s="244" t="s">
        <v>111</v>
      </c>
      <c r="C129" s="193" t="s">
        <v>812</v>
      </c>
      <c r="D129" s="238" t="s">
        <v>11</v>
      </c>
      <c r="E129" s="221" t="s">
        <v>105</v>
      </c>
      <c r="F129" s="494" t="s">
        <v>215</v>
      </c>
      <c r="G129" s="245" t="s">
        <v>28</v>
      </c>
      <c r="H129" s="250">
        <v>150000</v>
      </c>
      <c r="I129" s="200">
        <v>185000</v>
      </c>
      <c r="J129" s="215" t="s">
        <v>813</v>
      </c>
      <c r="K129" s="495">
        <v>1.5</v>
      </c>
      <c r="L129" s="248">
        <v>4500</v>
      </c>
      <c r="M129" s="630" t="s">
        <v>381</v>
      </c>
      <c r="N129" s="261" t="s">
        <v>814</v>
      </c>
      <c r="O129" s="318"/>
      <c r="P129" s="318"/>
    </row>
    <row r="130" spans="1:16" s="393" customFormat="1" ht="32.25" customHeight="1" x14ac:dyDescent="0.4">
      <c r="A130" s="261">
        <v>236</v>
      </c>
      <c r="B130" s="262" t="s">
        <v>584</v>
      </c>
      <c r="C130" s="193" t="s">
        <v>816</v>
      </c>
      <c r="D130" s="241" t="s">
        <v>14</v>
      </c>
      <c r="E130" s="261" t="s">
        <v>104</v>
      </c>
      <c r="F130" s="258" t="s">
        <v>928</v>
      </c>
      <c r="G130" s="264" t="s">
        <v>876</v>
      </c>
      <c r="H130" s="265">
        <v>90000</v>
      </c>
      <c r="I130" s="200">
        <v>160000</v>
      </c>
      <c r="J130" s="215" t="s">
        <v>888</v>
      </c>
      <c r="K130" s="345">
        <v>0.9</v>
      </c>
      <c r="L130" s="389">
        <v>3000</v>
      </c>
      <c r="M130" s="641"/>
      <c r="N130" s="261" t="s">
        <v>738</v>
      </c>
      <c r="O130" s="318"/>
      <c r="P130" s="318"/>
    </row>
    <row r="131" spans="1:16" s="393" customFormat="1" ht="32.25" customHeight="1" x14ac:dyDescent="0.4">
      <c r="A131" s="261">
        <v>233</v>
      </c>
      <c r="B131" s="262" t="s">
        <v>489</v>
      </c>
      <c r="C131" s="193" t="s">
        <v>889</v>
      </c>
      <c r="D131" s="241" t="s">
        <v>11</v>
      </c>
      <c r="E131" s="261" t="s">
        <v>241</v>
      </c>
      <c r="F131" s="258" t="s">
        <v>929</v>
      </c>
      <c r="G131" s="264" t="s">
        <v>876</v>
      </c>
      <c r="H131" s="265">
        <v>100000</v>
      </c>
      <c r="I131" s="200">
        <v>150000</v>
      </c>
      <c r="J131" s="215" t="s">
        <v>890</v>
      </c>
      <c r="K131" s="378">
        <v>0.9</v>
      </c>
      <c r="L131" s="310">
        <v>3000</v>
      </c>
      <c r="M131" s="392"/>
      <c r="N131" s="261" t="s">
        <v>815</v>
      </c>
      <c r="O131" s="318"/>
      <c r="P131" s="318"/>
    </row>
    <row r="132" spans="1:16" s="393" customFormat="1" ht="32.25" customHeight="1" x14ac:dyDescent="0.4">
      <c r="A132" s="261">
        <v>234</v>
      </c>
      <c r="B132" s="262" t="s">
        <v>489</v>
      </c>
      <c r="C132" s="193" t="s">
        <v>893</v>
      </c>
      <c r="D132" s="241" t="s">
        <v>14</v>
      </c>
      <c r="E132" s="261" t="s">
        <v>105</v>
      </c>
      <c r="F132" s="258" t="s">
        <v>930</v>
      </c>
      <c r="G132" s="264" t="s">
        <v>892</v>
      </c>
      <c r="H132" s="265">
        <v>500000</v>
      </c>
      <c r="I132" s="200">
        <v>650000</v>
      </c>
      <c r="J132" s="215" t="s">
        <v>894</v>
      </c>
      <c r="K132" s="378">
        <v>3.5</v>
      </c>
      <c r="L132" s="310">
        <v>3000</v>
      </c>
      <c r="M132" s="392">
        <v>2009.01</v>
      </c>
      <c r="N132" s="261" t="s">
        <v>815</v>
      </c>
      <c r="O132" s="318" t="s">
        <v>897</v>
      </c>
      <c r="P132" s="318"/>
    </row>
    <row r="133" spans="1:16" s="393" customFormat="1" ht="32.25" customHeight="1" x14ac:dyDescent="0.4">
      <c r="A133" s="261">
        <v>228</v>
      </c>
      <c r="B133" s="262" t="s">
        <v>8</v>
      </c>
      <c r="C133" s="193" t="s">
        <v>902</v>
      </c>
      <c r="D133" s="241" t="s">
        <v>9</v>
      </c>
      <c r="E133" s="261" t="s">
        <v>105</v>
      </c>
      <c r="F133" s="258" t="s">
        <v>963</v>
      </c>
      <c r="G133" s="264" t="s">
        <v>866</v>
      </c>
      <c r="H133" s="265">
        <v>320000</v>
      </c>
      <c r="I133" s="200">
        <v>520000</v>
      </c>
      <c r="J133" s="215" t="s">
        <v>903</v>
      </c>
      <c r="K133" s="345">
        <v>2.5</v>
      </c>
      <c r="L133" s="389">
        <v>3000</v>
      </c>
      <c r="M133" s="637" t="s">
        <v>904</v>
      </c>
      <c r="N133" s="261" t="s">
        <v>965</v>
      </c>
      <c r="O133" s="318"/>
      <c r="P133" s="318"/>
    </row>
    <row r="134" spans="1:16" s="393" customFormat="1" ht="32.25" customHeight="1" x14ac:dyDescent="0.4">
      <c r="A134" s="261">
        <v>151</v>
      </c>
      <c r="B134" s="262" t="s">
        <v>489</v>
      </c>
      <c r="C134" s="193" t="s">
        <v>908</v>
      </c>
      <c r="D134" s="241" t="s">
        <v>490</v>
      </c>
      <c r="E134" s="261" t="s">
        <v>105</v>
      </c>
      <c r="F134" s="258" t="s">
        <v>1005</v>
      </c>
      <c r="G134" s="264" t="s">
        <v>492</v>
      </c>
      <c r="H134" s="265">
        <v>85000</v>
      </c>
      <c r="I134" s="497">
        <v>200000</v>
      </c>
      <c r="J134" s="215" t="s">
        <v>909</v>
      </c>
      <c r="K134" s="345">
        <v>1.5</v>
      </c>
      <c r="L134" s="251">
        <v>3000</v>
      </c>
      <c r="M134" s="629" t="s">
        <v>496</v>
      </c>
      <c r="N134" s="261" t="s">
        <v>498</v>
      </c>
      <c r="O134" s="318"/>
      <c r="P134" s="318"/>
    </row>
    <row r="135" spans="1:16" s="393" customFormat="1" ht="32.25" customHeight="1" x14ac:dyDescent="0.4">
      <c r="A135" s="261">
        <v>240</v>
      </c>
      <c r="B135" s="262" t="s">
        <v>919</v>
      </c>
      <c r="C135" s="193" t="s">
        <v>936</v>
      </c>
      <c r="D135" s="241" t="s">
        <v>920</v>
      </c>
      <c r="E135" s="261" t="s">
        <v>921</v>
      </c>
      <c r="F135" s="258" t="s">
        <v>3027</v>
      </c>
      <c r="G135" s="264" t="s">
        <v>922</v>
      </c>
      <c r="H135" s="265">
        <v>185000</v>
      </c>
      <c r="I135" s="497">
        <v>246000</v>
      </c>
      <c r="J135" s="215" t="s">
        <v>962</v>
      </c>
      <c r="K135" s="378">
        <v>1.5</v>
      </c>
      <c r="L135" s="310">
        <v>3000</v>
      </c>
      <c r="M135" s="392" t="s">
        <v>923</v>
      </c>
      <c r="N135" s="261" t="s">
        <v>1041</v>
      </c>
      <c r="O135" s="318"/>
      <c r="P135" s="318"/>
    </row>
    <row r="136" spans="1:16" s="393" customFormat="1" ht="32.25" customHeight="1" x14ac:dyDescent="0.4">
      <c r="A136" s="261">
        <v>254</v>
      </c>
      <c r="B136" s="262" t="s">
        <v>1036</v>
      </c>
      <c r="C136" s="193" t="s">
        <v>1012</v>
      </c>
      <c r="D136" s="241" t="s">
        <v>1002</v>
      </c>
      <c r="E136" s="261" t="s">
        <v>105</v>
      </c>
      <c r="F136" s="258" t="s">
        <v>1003</v>
      </c>
      <c r="G136" s="264" t="s">
        <v>1006</v>
      </c>
      <c r="H136" s="499">
        <v>399100</v>
      </c>
      <c r="I136" s="497">
        <v>525000</v>
      </c>
      <c r="J136" s="215" t="s">
        <v>1011</v>
      </c>
      <c r="K136" s="378">
        <v>2.5</v>
      </c>
      <c r="L136" s="310">
        <v>3000</v>
      </c>
      <c r="M136" s="644" t="s">
        <v>1004</v>
      </c>
      <c r="N136" s="261" t="s">
        <v>854</v>
      </c>
      <c r="O136" s="318" t="s">
        <v>897</v>
      </c>
      <c r="P136" s="318"/>
    </row>
    <row r="137" spans="1:16" s="393" customFormat="1" ht="32.25" customHeight="1" x14ac:dyDescent="0.4">
      <c r="A137" s="261">
        <v>247</v>
      </c>
      <c r="B137" s="262" t="s">
        <v>974</v>
      </c>
      <c r="C137" s="193" t="s">
        <v>1013</v>
      </c>
      <c r="D137" s="241" t="s">
        <v>975</v>
      </c>
      <c r="E137" s="261" t="s">
        <v>976</v>
      </c>
      <c r="F137" s="258" t="s">
        <v>984</v>
      </c>
      <c r="G137" s="264" t="s">
        <v>977</v>
      </c>
      <c r="H137" s="265">
        <v>80000</v>
      </c>
      <c r="I137" s="497">
        <v>180000</v>
      </c>
      <c r="J137" s="215" t="s">
        <v>1014</v>
      </c>
      <c r="K137" s="378">
        <v>1.5</v>
      </c>
      <c r="L137" s="310">
        <v>4000</v>
      </c>
      <c r="M137" s="644" t="s">
        <v>985</v>
      </c>
      <c r="N137" s="261" t="s">
        <v>1040</v>
      </c>
      <c r="O137" s="318"/>
      <c r="P137" s="318"/>
    </row>
    <row r="138" spans="1:16" s="393" customFormat="1" ht="32.25" customHeight="1" x14ac:dyDescent="0.4">
      <c r="A138" s="261">
        <v>200</v>
      </c>
      <c r="B138" s="262" t="s">
        <v>489</v>
      </c>
      <c r="C138" s="193" t="s">
        <v>1016</v>
      </c>
      <c r="D138" s="241" t="s">
        <v>11</v>
      </c>
      <c r="E138" s="261" t="s">
        <v>105</v>
      </c>
      <c r="F138" s="258" t="s">
        <v>724</v>
      </c>
      <c r="G138" s="264" t="s">
        <v>723</v>
      </c>
      <c r="H138" s="265">
        <v>160000</v>
      </c>
      <c r="I138" s="497">
        <v>250000</v>
      </c>
      <c r="J138" s="215" t="s">
        <v>1017</v>
      </c>
      <c r="K138" s="345">
        <v>3</v>
      </c>
      <c r="L138" s="251">
        <v>4500</v>
      </c>
      <c r="M138" s="638" t="s">
        <v>789</v>
      </c>
      <c r="N138" s="261" t="s">
        <v>738</v>
      </c>
      <c r="O138" s="318"/>
      <c r="P138" s="318"/>
    </row>
    <row r="139" spans="1:16" s="393" customFormat="1" ht="32.25" customHeight="1" x14ac:dyDescent="0.4">
      <c r="A139" s="261">
        <v>244</v>
      </c>
      <c r="B139" s="262" t="s">
        <v>489</v>
      </c>
      <c r="C139" s="193" t="s">
        <v>1055</v>
      </c>
      <c r="D139" s="241" t="s">
        <v>11</v>
      </c>
      <c r="E139" s="261" t="s">
        <v>104</v>
      </c>
      <c r="F139" s="258" t="s">
        <v>1054</v>
      </c>
      <c r="G139" s="264" t="s">
        <v>960</v>
      </c>
      <c r="H139" s="265">
        <v>140000</v>
      </c>
      <c r="I139" s="497">
        <v>170000</v>
      </c>
      <c r="J139" s="215" t="s">
        <v>1056</v>
      </c>
      <c r="K139" s="378">
        <v>1.5</v>
      </c>
      <c r="L139" s="310">
        <v>4500</v>
      </c>
      <c r="M139" s="644">
        <v>2012</v>
      </c>
      <c r="N139" s="261" t="s">
        <v>854</v>
      </c>
      <c r="O139" s="318"/>
      <c r="P139" s="318"/>
    </row>
    <row r="140" spans="1:16" s="393" customFormat="1" ht="32.25" customHeight="1" x14ac:dyDescent="0.4">
      <c r="A140" s="261">
        <v>256</v>
      </c>
      <c r="B140" s="262" t="s">
        <v>489</v>
      </c>
      <c r="C140" s="193" t="s">
        <v>1083</v>
      </c>
      <c r="D140" s="241" t="s">
        <v>11</v>
      </c>
      <c r="E140" s="261" t="s">
        <v>105</v>
      </c>
      <c r="F140" s="258" t="s">
        <v>1177</v>
      </c>
      <c r="G140" s="264" t="s">
        <v>1080</v>
      </c>
      <c r="H140" s="265">
        <v>110000</v>
      </c>
      <c r="I140" s="497">
        <v>170000</v>
      </c>
      <c r="J140" s="215" t="s">
        <v>1084</v>
      </c>
      <c r="K140" s="378">
        <v>1.8</v>
      </c>
      <c r="L140" s="310">
        <v>4000</v>
      </c>
      <c r="M140" s="644" t="s">
        <v>1081</v>
      </c>
      <c r="N140" s="261" t="s">
        <v>1117</v>
      </c>
      <c r="O140" s="318"/>
      <c r="P140" s="318"/>
    </row>
    <row r="141" spans="1:16" s="393" customFormat="1" ht="32.25" customHeight="1" x14ac:dyDescent="0.4">
      <c r="A141" s="261">
        <v>128</v>
      </c>
      <c r="B141" s="262" t="s">
        <v>111</v>
      </c>
      <c r="C141" s="193" t="s">
        <v>1112</v>
      </c>
      <c r="D141" s="241" t="s">
        <v>14</v>
      </c>
      <c r="E141" s="261" t="s">
        <v>105</v>
      </c>
      <c r="F141" s="258" t="s">
        <v>328</v>
      </c>
      <c r="G141" s="264" t="s">
        <v>329</v>
      </c>
      <c r="H141" s="265">
        <v>200000</v>
      </c>
      <c r="I141" s="497">
        <v>380000</v>
      </c>
      <c r="J141" s="215" t="s">
        <v>1114</v>
      </c>
      <c r="K141" s="345">
        <v>2.5</v>
      </c>
      <c r="L141" s="389">
        <v>4300</v>
      </c>
      <c r="M141" s="633" t="s">
        <v>1113</v>
      </c>
      <c r="N141" s="261" t="s">
        <v>1118</v>
      </c>
      <c r="O141" s="318" t="s">
        <v>1119</v>
      </c>
      <c r="P141" s="318"/>
    </row>
    <row r="142" spans="1:16" s="393" customFormat="1" ht="32.25" customHeight="1" x14ac:dyDescent="0.4">
      <c r="A142" s="261">
        <v>259</v>
      </c>
      <c r="B142" s="262" t="s">
        <v>186</v>
      </c>
      <c r="C142" s="193" t="s">
        <v>1145</v>
      </c>
      <c r="D142" s="241" t="s">
        <v>9</v>
      </c>
      <c r="E142" s="261" t="s">
        <v>105</v>
      </c>
      <c r="F142" s="258" t="s">
        <v>1110</v>
      </c>
      <c r="G142" s="264" t="s">
        <v>1111</v>
      </c>
      <c r="H142" s="265">
        <v>740000</v>
      </c>
      <c r="I142" s="497">
        <v>1350000</v>
      </c>
      <c r="J142" s="215" t="s">
        <v>1121</v>
      </c>
      <c r="K142" s="378">
        <v>4.5</v>
      </c>
      <c r="L142" s="310">
        <v>3000</v>
      </c>
      <c r="M142" s="392" t="s">
        <v>1116</v>
      </c>
      <c r="N142" s="261" t="s">
        <v>815</v>
      </c>
      <c r="O142" s="318" t="s">
        <v>1122</v>
      </c>
      <c r="P142" s="318"/>
    </row>
    <row r="143" spans="1:16" s="393" customFormat="1" ht="32.25" customHeight="1" x14ac:dyDescent="0.4">
      <c r="A143" s="261">
        <v>257</v>
      </c>
      <c r="B143" s="262" t="s">
        <v>489</v>
      </c>
      <c r="C143" s="193" t="s">
        <v>1146</v>
      </c>
      <c r="D143" s="241" t="s">
        <v>1135</v>
      </c>
      <c r="E143" s="261" t="s">
        <v>105</v>
      </c>
      <c r="F143" s="258" t="s">
        <v>1142</v>
      </c>
      <c r="G143" s="264" t="s">
        <v>1136</v>
      </c>
      <c r="H143" s="265">
        <v>150000</v>
      </c>
      <c r="I143" s="497">
        <v>260000</v>
      </c>
      <c r="J143" s="215" t="s">
        <v>1144</v>
      </c>
      <c r="K143" s="378">
        <v>2.5</v>
      </c>
      <c r="L143" s="310">
        <v>4000</v>
      </c>
      <c r="M143" s="645" t="s">
        <v>1140</v>
      </c>
      <c r="N143" s="261" t="s">
        <v>815</v>
      </c>
      <c r="O143" s="318" t="s">
        <v>1155</v>
      </c>
      <c r="P143" s="318"/>
    </row>
    <row r="144" spans="1:16" s="393" customFormat="1" ht="32.25" customHeight="1" x14ac:dyDescent="0.4">
      <c r="A144" s="262">
        <v>217</v>
      </c>
      <c r="B144" s="262" t="s">
        <v>695</v>
      </c>
      <c r="C144" s="193" t="s">
        <v>1159</v>
      </c>
      <c r="D144" s="262" t="s">
        <v>14</v>
      </c>
      <c r="E144" s="262" t="s">
        <v>105</v>
      </c>
      <c r="F144" s="514" t="s">
        <v>799</v>
      </c>
      <c r="G144" s="262" t="s">
        <v>798</v>
      </c>
      <c r="H144" s="265">
        <v>60000</v>
      </c>
      <c r="I144" s="497">
        <v>200000</v>
      </c>
      <c r="J144" s="215" t="s">
        <v>1160</v>
      </c>
      <c r="K144" s="345">
        <v>1.2</v>
      </c>
      <c r="L144" s="389">
        <v>3700</v>
      </c>
      <c r="M144" s="392" t="s">
        <v>989</v>
      </c>
      <c r="N144" s="261" t="s">
        <v>661</v>
      </c>
      <c r="O144" s="318"/>
      <c r="P144" s="318"/>
    </row>
    <row r="145" spans="1:16" s="393" customFormat="1" ht="32.25" customHeight="1" x14ac:dyDescent="0.4">
      <c r="A145" s="261">
        <v>261</v>
      </c>
      <c r="B145" s="262" t="s">
        <v>489</v>
      </c>
      <c r="C145" s="193" t="s">
        <v>1161</v>
      </c>
      <c r="D145" s="241" t="s">
        <v>11</v>
      </c>
      <c r="E145" s="261" t="s">
        <v>105</v>
      </c>
      <c r="F145" s="258" t="s">
        <v>1149</v>
      </c>
      <c r="G145" s="264" t="s">
        <v>1150</v>
      </c>
      <c r="H145" s="265">
        <v>90000</v>
      </c>
      <c r="I145" s="497">
        <v>160000</v>
      </c>
      <c r="J145" s="215" t="s">
        <v>1162</v>
      </c>
      <c r="K145" s="378">
        <v>1.8</v>
      </c>
      <c r="L145" s="310">
        <v>4500</v>
      </c>
      <c r="M145" s="644" t="s">
        <v>1151</v>
      </c>
      <c r="N145" s="261" t="s">
        <v>815</v>
      </c>
      <c r="O145" s="318"/>
      <c r="P145" s="318"/>
    </row>
    <row r="146" spans="1:16" s="393" customFormat="1" ht="32.25" customHeight="1" x14ac:dyDescent="0.4">
      <c r="A146" s="261">
        <v>264</v>
      </c>
      <c r="B146" s="262" t="s">
        <v>489</v>
      </c>
      <c r="C146" s="193" t="s">
        <v>1167</v>
      </c>
      <c r="D146" s="241" t="s">
        <v>423</v>
      </c>
      <c r="E146" s="261" t="s">
        <v>105</v>
      </c>
      <c r="F146" s="258" t="s">
        <v>1165</v>
      </c>
      <c r="G146" s="264" t="s">
        <v>1164</v>
      </c>
      <c r="H146" s="265">
        <v>190000</v>
      </c>
      <c r="I146" s="497">
        <v>280000</v>
      </c>
      <c r="J146" s="215" t="s">
        <v>1168</v>
      </c>
      <c r="K146" s="378">
        <v>1.5</v>
      </c>
      <c r="L146" s="310">
        <v>4000</v>
      </c>
      <c r="M146" s="644" t="s">
        <v>1166</v>
      </c>
      <c r="N146" s="261" t="s">
        <v>815</v>
      </c>
      <c r="O146" s="318"/>
      <c r="P146" s="318"/>
    </row>
    <row r="147" spans="1:16" s="393" customFormat="1" ht="32.25" customHeight="1" x14ac:dyDescent="0.4">
      <c r="A147" s="261">
        <v>263</v>
      </c>
      <c r="B147" s="262" t="s">
        <v>1158</v>
      </c>
      <c r="C147" s="193" t="s">
        <v>2554</v>
      </c>
      <c r="D147" s="241" t="s">
        <v>783</v>
      </c>
      <c r="E147" s="261" t="s">
        <v>1170</v>
      </c>
      <c r="F147" s="258" t="s">
        <v>1171</v>
      </c>
      <c r="G147" s="264" t="s">
        <v>1156</v>
      </c>
      <c r="H147" s="265">
        <v>55000</v>
      </c>
      <c r="I147" s="497">
        <v>88000</v>
      </c>
      <c r="J147" s="215" t="s">
        <v>1172</v>
      </c>
      <c r="K147" s="378">
        <v>1.3</v>
      </c>
      <c r="L147" s="310">
        <v>4500</v>
      </c>
      <c r="M147" s="392" t="s">
        <v>1157</v>
      </c>
      <c r="N147" s="261" t="s">
        <v>10</v>
      </c>
      <c r="O147" s="318"/>
      <c r="P147" s="318"/>
    </row>
    <row r="148" spans="1:16" s="393" customFormat="1" ht="32.25" customHeight="1" x14ac:dyDescent="0.4">
      <c r="A148" s="261">
        <v>265</v>
      </c>
      <c r="B148" s="262" t="s">
        <v>828</v>
      </c>
      <c r="C148" s="193" t="s">
        <v>1178</v>
      </c>
      <c r="D148" s="241" t="s">
        <v>11</v>
      </c>
      <c r="E148" s="261" t="s">
        <v>105</v>
      </c>
      <c r="F148" s="258" t="s">
        <v>1176</v>
      </c>
      <c r="G148" s="264" t="s">
        <v>1174</v>
      </c>
      <c r="H148" s="499">
        <v>120000</v>
      </c>
      <c r="I148" s="497">
        <v>150000</v>
      </c>
      <c r="J148" s="215" t="s">
        <v>1179</v>
      </c>
      <c r="K148" s="378">
        <v>1.5</v>
      </c>
      <c r="L148" s="310">
        <v>3000</v>
      </c>
      <c r="M148" s="644" t="s">
        <v>1175</v>
      </c>
      <c r="N148" s="261" t="s">
        <v>867</v>
      </c>
      <c r="O148" s="318"/>
      <c r="P148" s="318"/>
    </row>
    <row r="149" spans="1:16" s="393" customFormat="1" ht="32.25" customHeight="1" x14ac:dyDescent="0.4">
      <c r="A149" s="261">
        <v>90</v>
      </c>
      <c r="B149" s="262" t="s">
        <v>845</v>
      </c>
      <c r="C149" s="193" t="s">
        <v>3102</v>
      </c>
      <c r="D149" s="241" t="s">
        <v>846</v>
      </c>
      <c r="E149" s="261" t="s">
        <v>847</v>
      </c>
      <c r="F149" s="258" t="s">
        <v>848</v>
      </c>
      <c r="G149" s="264"/>
      <c r="H149" s="265">
        <v>130000</v>
      </c>
      <c r="I149" s="497">
        <v>150000</v>
      </c>
      <c r="J149" s="215" t="s">
        <v>1196</v>
      </c>
      <c r="K149" s="266">
        <v>1.5</v>
      </c>
      <c r="L149" s="267">
        <v>3000</v>
      </c>
      <c r="M149" s="392" t="s">
        <v>849</v>
      </c>
      <c r="N149" s="261" t="s">
        <v>850</v>
      </c>
      <c r="O149" s="318" t="s">
        <v>1297</v>
      </c>
      <c r="P149" s="318"/>
    </row>
    <row r="150" spans="1:16" s="393" customFormat="1" ht="32.25" customHeight="1" x14ac:dyDescent="0.4">
      <c r="A150" s="261">
        <v>267</v>
      </c>
      <c r="B150" s="262" t="s">
        <v>1198</v>
      </c>
      <c r="C150" s="193" t="s">
        <v>1209</v>
      </c>
      <c r="D150" s="241" t="s">
        <v>11</v>
      </c>
      <c r="E150" s="261" t="s">
        <v>627</v>
      </c>
      <c r="F150" s="258" t="s">
        <v>1206</v>
      </c>
      <c r="G150" s="264" t="s">
        <v>1207</v>
      </c>
      <c r="H150" s="265">
        <v>250000</v>
      </c>
      <c r="I150" s="497">
        <v>470000</v>
      </c>
      <c r="J150" s="215" t="s">
        <v>1210</v>
      </c>
      <c r="K150" s="378">
        <v>1.2</v>
      </c>
      <c r="L150" s="310">
        <v>5000</v>
      </c>
      <c r="M150" s="644" t="s">
        <v>1208</v>
      </c>
      <c r="N150" s="261" t="s">
        <v>871</v>
      </c>
      <c r="O150" s="318"/>
      <c r="P150" s="318"/>
    </row>
    <row r="151" spans="1:16" s="393" customFormat="1" ht="32.25" customHeight="1" x14ac:dyDescent="0.4">
      <c r="A151" s="261">
        <v>273</v>
      </c>
      <c r="B151" s="262" t="s">
        <v>186</v>
      </c>
      <c r="C151" s="193" t="s">
        <v>3052</v>
      </c>
      <c r="D151" s="241" t="s">
        <v>11</v>
      </c>
      <c r="E151" s="261" t="s">
        <v>1310</v>
      </c>
      <c r="F151" s="258" t="s">
        <v>3053</v>
      </c>
      <c r="G151" s="264" t="s">
        <v>1205</v>
      </c>
      <c r="H151" s="265">
        <v>120000</v>
      </c>
      <c r="I151" s="497">
        <v>150000</v>
      </c>
      <c r="J151" s="215" t="s">
        <v>1222</v>
      </c>
      <c r="K151" s="378">
        <v>1.5</v>
      </c>
      <c r="L151" s="310">
        <v>3000</v>
      </c>
      <c r="M151" s="646" t="s">
        <v>2246</v>
      </c>
      <c r="N151" s="261" t="s">
        <v>1359</v>
      </c>
      <c r="O151" s="318"/>
      <c r="P151" s="318"/>
    </row>
    <row r="152" spans="1:16" s="393" customFormat="1" ht="32.25" customHeight="1" x14ac:dyDescent="0.4">
      <c r="A152" s="261">
        <v>156</v>
      </c>
      <c r="B152" s="262" t="s">
        <v>1215</v>
      </c>
      <c r="C152" s="193" t="s">
        <v>1239</v>
      </c>
      <c r="D152" s="241" t="s">
        <v>1216</v>
      </c>
      <c r="E152" s="261" t="s">
        <v>1217</v>
      </c>
      <c r="F152" s="258" t="s">
        <v>1231</v>
      </c>
      <c r="G152" s="347" t="s">
        <v>1218</v>
      </c>
      <c r="H152" s="265">
        <v>120000</v>
      </c>
      <c r="I152" s="497">
        <v>188952</v>
      </c>
      <c r="J152" s="215" t="s">
        <v>1232</v>
      </c>
      <c r="K152" s="533">
        <v>0.7</v>
      </c>
      <c r="L152" s="534">
        <v>2000</v>
      </c>
      <c r="M152" s="392" t="s">
        <v>1219</v>
      </c>
      <c r="N152" s="261" t="s">
        <v>1220</v>
      </c>
      <c r="O152" s="535" t="s">
        <v>1221</v>
      </c>
      <c r="P152" s="318"/>
    </row>
    <row r="153" spans="1:16" s="393" customFormat="1" ht="32.25" customHeight="1" x14ac:dyDescent="0.4">
      <c r="A153" s="261">
        <v>276</v>
      </c>
      <c r="B153" s="262" t="s">
        <v>489</v>
      </c>
      <c r="C153" s="193" t="s">
        <v>1276</v>
      </c>
      <c r="D153" s="241" t="s">
        <v>11</v>
      </c>
      <c r="E153" s="261" t="s">
        <v>1225</v>
      </c>
      <c r="F153" s="258" t="s">
        <v>1275</v>
      </c>
      <c r="G153" s="264" t="s">
        <v>1226</v>
      </c>
      <c r="H153" s="265">
        <v>190000</v>
      </c>
      <c r="I153" s="497">
        <v>260000</v>
      </c>
      <c r="J153" s="215" t="s">
        <v>1277</v>
      </c>
      <c r="K153" s="378">
        <v>2.5</v>
      </c>
      <c r="L153" s="310">
        <v>4000</v>
      </c>
      <c r="M153" s="392" t="s">
        <v>1227</v>
      </c>
      <c r="N153" s="261" t="s">
        <v>815</v>
      </c>
      <c r="O153" s="318"/>
      <c r="P153" s="318"/>
    </row>
    <row r="154" spans="1:16" s="393" customFormat="1" ht="32.25" customHeight="1" x14ac:dyDescent="0.4">
      <c r="A154" s="261">
        <v>282</v>
      </c>
      <c r="B154" s="262" t="s">
        <v>1197</v>
      </c>
      <c r="C154" s="193" t="s">
        <v>1282</v>
      </c>
      <c r="D154" s="241" t="s">
        <v>11</v>
      </c>
      <c r="E154" s="261" t="s">
        <v>105</v>
      </c>
      <c r="F154" s="258" t="s">
        <v>1280</v>
      </c>
      <c r="G154" s="264" t="s">
        <v>1278</v>
      </c>
      <c r="H154" s="265">
        <v>60000</v>
      </c>
      <c r="I154" s="497">
        <v>160000</v>
      </c>
      <c r="J154" s="215" t="s">
        <v>1281</v>
      </c>
      <c r="K154" s="378">
        <v>1.5</v>
      </c>
      <c r="L154" s="310">
        <v>3000</v>
      </c>
      <c r="M154" s="392" t="s">
        <v>1279</v>
      </c>
      <c r="N154" s="261" t="s">
        <v>854</v>
      </c>
      <c r="O154" s="318" t="s">
        <v>1316</v>
      </c>
      <c r="P154" s="318"/>
    </row>
    <row r="155" spans="1:16" s="393" customFormat="1" ht="32.25" customHeight="1" x14ac:dyDescent="0.4">
      <c r="A155" s="341">
        <v>182</v>
      </c>
      <c r="B155" s="341" t="s">
        <v>1240</v>
      </c>
      <c r="C155" s="193" t="s">
        <v>1284</v>
      </c>
      <c r="D155" s="341" t="s">
        <v>633</v>
      </c>
      <c r="E155" s="341" t="s">
        <v>1242</v>
      </c>
      <c r="F155" s="547" t="s">
        <v>1243</v>
      </c>
      <c r="G155" s="341" t="s">
        <v>1244</v>
      </c>
      <c r="H155" s="548">
        <v>150000</v>
      </c>
      <c r="I155" s="497">
        <v>230000</v>
      </c>
      <c r="J155" s="215" t="s">
        <v>1285</v>
      </c>
      <c r="K155" s="549">
        <v>2.5</v>
      </c>
      <c r="L155" s="341">
        <v>4000</v>
      </c>
      <c r="M155" s="279" t="s">
        <v>1246</v>
      </c>
      <c r="N155" s="261" t="s">
        <v>1247</v>
      </c>
      <c r="O155" s="318"/>
      <c r="P155" s="318"/>
    </row>
    <row r="156" spans="1:16" s="393" customFormat="1" ht="32.25" customHeight="1" x14ac:dyDescent="0.4">
      <c r="A156" s="261">
        <v>284</v>
      </c>
      <c r="B156" s="262" t="s">
        <v>1304</v>
      </c>
      <c r="C156" s="193" t="s">
        <v>3104</v>
      </c>
      <c r="D156" s="241" t="s">
        <v>9</v>
      </c>
      <c r="E156" s="261" t="s">
        <v>105</v>
      </c>
      <c r="F156" s="258" t="s">
        <v>1305</v>
      </c>
      <c r="G156" s="264" t="s">
        <v>1306</v>
      </c>
      <c r="H156" s="265">
        <v>176600</v>
      </c>
      <c r="I156" s="497">
        <v>90000</v>
      </c>
      <c r="J156" s="215" t="s">
        <v>1308</v>
      </c>
      <c r="K156" s="378">
        <v>1.5</v>
      </c>
      <c r="L156" s="310">
        <v>3000</v>
      </c>
      <c r="M156" s="392"/>
      <c r="N156" s="261" t="s">
        <v>10</v>
      </c>
      <c r="O156" s="318"/>
      <c r="P156" s="318"/>
    </row>
    <row r="157" spans="1:16" s="393" customFormat="1" ht="32.25" customHeight="1" x14ac:dyDescent="0.4">
      <c r="A157" s="261">
        <v>243</v>
      </c>
      <c r="B157" s="262" t="s">
        <v>489</v>
      </c>
      <c r="C157" s="193" t="s">
        <v>1313</v>
      </c>
      <c r="D157" s="241" t="s">
        <v>490</v>
      </c>
      <c r="E157" s="261" t="s">
        <v>105</v>
      </c>
      <c r="F157" s="258" t="s">
        <v>1312</v>
      </c>
      <c r="G157" s="264" t="s">
        <v>943</v>
      </c>
      <c r="H157" s="265">
        <v>50000</v>
      </c>
      <c r="I157" s="497">
        <v>150000</v>
      </c>
      <c r="J157" s="215" t="s">
        <v>1314</v>
      </c>
      <c r="K157" s="378">
        <v>1</v>
      </c>
      <c r="L157" s="310">
        <v>3000</v>
      </c>
      <c r="M157" s="644" t="s">
        <v>947</v>
      </c>
      <c r="N157" s="261" t="s">
        <v>815</v>
      </c>
      <c r="O157" s="318" t="s">
        <v>1315</v>
      </c>
      <c r="P157" s="318"/>
    </row>
    <row r="158" spans="1:16" s="393" customFormat="1" ht="32.25" customHeight="1" x14ac:dyDescent="0.4">
      <c r="A158" s="241">
        <v>143</v>
      </c>
      <c r="B158" s="241" t="s">
        <v>1123</v>
      </c>
      <c r="C158" s="193" t="s">
        <v>1318</v>
      </c>
      <c r="D158" s="241" t="s">
        <v>1124</v>
      </c>
      <c r="E158" s="241" t="s">
        <v>1125</v>
      </c>
      <c r="F158" s="258" t="s">
        <v>1317</v>
      </c>
      <c r="G158" s="241" t="s">
        <v>1126</v>
      </c>
      <c r="H158" s="265">
        <v>180000</v>
      </c>
      <c r="I158" s="497">
        <v>220000</v>
      </c>
      <c r="J158" s="215" t="s">
        <v>1319</v>
      </c>
      <c r="K158" s="550">
        <v>2</v>
      </c>
      <c r="L158" s="241">
        <v>4000</v>
      </c>
      <c r="M158" s="334" t="s">
        <v>1127</v>
      </c>
      <c r="N158" s="261" t="s">
        <v>1267</v>
      </c>
      <c r="O158" s="318" t="s">
        <v>1320</v>
      </c>
      <c r="P158" s="318"/>
    </row>
    <row r="159" spans="1:16" s="393" customFormat="1" ht="32.25" customHeight="1" x14ac:dyDescent="0.4">
      <c r="A159" s="261">
        <v>270</v>
      </c>
      <c r="B159" s="262" t="s">
        <v>1197</v>
      </c>
      <c r="C159" s="193" t="s">
        <v>1323</v>
      </c>
      <c r="D159" s="241" t="s">
        <v>11</v>
      </c>
      <c r="E159" s="261" t="s">
        <v>1346</v>
      </c>
      <c r="F159" s="258" t="s">
        <v>1194</v>
      </c>
      <c r="G159" s="264" t="s">
        <v>1204</v>
      </c>
      <c r="H159" s="265">
        <v>65000</v>
      </c>
      <c r="I159" s="497">
        <v>170000</v>
      </c>
      <c r="J159" s="215" t="s">
        <v>1324</v>
      </c>
      <c r="K159" s="378">
        <v>1.5</v>
      </c>
      <c r="L159" s="310">
        <v>4000</v>
      </c>
      <c r="M159" s="392" t="s">
        <v>1195</v>
      </c>
      <c r="N159" s="261" t="s">
        <v>815</v>
      </c>
      <c r="O159" s="535" t="s">
        <v>1223</v>
      </c>
      <c r="P159" s="318"/>
    </row>
    <row r="160" spans="1:16" s="393" customFormat="1" ht="32.25" customHeight="1" x14ac:dyDescent="0.4">
      <c r="A160" s="261">
        <v>250</v>
      </c>
      <c r="B160" s="262" t="s">
        <v>67</v>
      </c>
      <c r="C160" s="193" t="s">
        <v>1338</v>
      </c>
      <c r="D160" s="241" t="s">
        <v>1182</v>
      </c>
      <c r="E160" s="261" t="s">
        <v>105</v>
      </c>
      <c r="F160" s="258" t="s">
        <v>121</v>
      </c>
      <c r="G160" s="264" t="s">
        <v>996</v>
      </c>
      <c r="H160" s="265">
        <v>56000</v>
      </c>
      <c r="I160" s="497">
        <v>140000</v>
      </c>
      <c r="J160" s="215" t="s">
        <v>1339</v>
      </c>
      <c r="K160" s="266">
        <v>1.3</v>
      </c>
      <c r="L160" s="267">
        <v>3000</v>
      </c>
      <c r="M160" s="392" t="s">
        <v>997</v>
      </c>
      <c r="N160" s="261" t="s">
        <v>727</v>
      </c>
      <c r="O160" s="318"/>
      <c r="P160" s="318"/>
    </row>
    <row r="161" spans="1:16" s="393" customFormat="1" ht="32.25" customHeight="1" x14ac:dyDescent="0.4">
      <c r="A161" s="333">
        <v>30</v>
      </c>
      <c r="B161" s="333" t="s">
        <v>8</v>
      </c>
      <c r="C161" s="193" t="s">
        <v>1341</v>
      </c>
      <c r="D161" s="333" t="s">
        <v>11</v>
      </c>
      <c r="E161" s="333" t="s">
        <v>105</v>
      </c>
      <c r="F161" s="551" t="s">
        <v>1340</v>
      </c>
      <c r="G161" s="333" t="s">
        <v>27</v>
      </c>
      <c r="H161" s="307">
        <v>90000</v>
      </c>
      <c r="I161" s="497">
        <v>160000</v>
      </c>
      <c r="J161" s="215" t="s">
        <v>1342</v>
      </c>
      <c r="K161" s="552">
        <v>1</v>
      </c>
      <c r="L161" s="333">
        <v>4000</v>
      </c>
      <c r="M161" s="392"/>
      <c r="N161" s="261" t="s">
        <v>1343</v>
      </c>
      <c r="O161" s="318" t="s">
        <v>1345</v>
      </c>
      <c r="P161" s="318"/>
    </row>
    <row r="162" spans="1:16" s="393" customFormat="1" ht="32.25" customHeight="1" x14ac:dyDescent="0.4">
      <c r="A162" s="261">
        <v>281</v>
      </c>
      <c r="B162" s="262" t="s">
        <v>1197</v>
      </c>
      <c r="C162" s="193" t="s">
        <v>1355</v>
      </c>
      <c r="D162" s="241" t="s">
        <v>11</v>
      </c>
      <c r="E162" s="261" t="s">
        <v>105</v>
      </c>
      <c r="F162" s="258" t="s">
        <v>1357</v>
      </c>
      <c r="G162" s="264" t="s">
        <v>1270</v>
      </c>
      <c r="H162" s="265">
        <v>60000</v>
      </c>
      <c r="I162" s="497">
        <v>171429</v>
      </c>
      <c r="J162" s="215" t="s">
        <v>1358</v>
      </c>
      <c r="K162" s="378">
        <v>1.5</v>
      </c>
      <c r="L162" s="310">
        <v>3000</v>
      </c>
      <c r="M162" s="392">
        <v>1998.03</v>
      </c>
      <c r="N162" s="261" t="s">
        <v>815</v>
      </c>
      <c r="O162" s="318"/>
      <c r="P162" s="318"/>
    </row>
    <row r="163" spans="1:16" s="393" customFormat="1" ht="32.25" customHeight="1" x14ac:dyDescent="0.4">
      <c r="A163" s="261">
        <v>290</v>
      </c>
      <c r="B163" s="262" t="s">
        <v>1362</v>
      </c>
      <c r="C163" s="193" t="s">
        <v>1360</v>
      </c>
      <c r="D163" s="241" t="s">
        <v>11</v>
      </c>
      <c r="E163" s="261" t="s">
        <v>105</v>
      </c>
      <c r="F163" s="258" t="s">
        <v>1398</v>
      </c>
      <c r="G163" s="264" t="s">
        <v>1348</v>
      </c>
      <c r="H163" s="265">
        <v>120000</v>
      </c>
      <c r="I163" s="497">
        <v>190000</v>
      </c>
      <c r="J163" s="215" t="s">
        <v>1361</v>
      </c>
      <c r="K163" s="378">
        <v>1</v>
      </c>
      <c r="L163" s="310">
        <v>3000</v>
      </c>
      <c r="M163" s="392" t="s">
        <v>1349</v>
      </c>
      <c r="N163" s="261" t="s">
        <v>1400</v>
      </c>
      <c r="O163" s="318"/>
      <c r="P163" s="318"/>
    </row>
    <row r="164" spans="1:16" s="393" customFormat="1" ht="32.25" customHeight="1" x14ac:dyDescent="0.4">
      <c r="A164" s="261">
        <v>286</v>
      </c>
      <c r="B164" s="262" t="s">
        <v>1197</v>
      </c>
      <c r="C164" s="193" t="s">
        <v>1371</v>
      </c>
      <c r="D164" s="241" t="s">
        <v>490</v>
      </c>
      <c r="E164" s="261" t="s">
        <v>105</v>
      </c>
      <c r="F164" s="258" t="s">
        <v>1351</v>
      </c>
      <c r="G164" s="264" t="s">
        <v>1353</v>
      </c>
      <c r="H164" s="265">
        <v>100000</v>
      </c>
      <c r="I164" s="497">
        <v>170000</v>
      </c>
      <c r="J164" s="215" t="s">
        <v>1370</v>
      </c>
      <c r="K164" s="378">
        <v>1.5</v>
      </c>
      <c r="L164" s="310">
        <v>4500</v>
      </c>
      <c r="M164" s="392"/>
      <c r="N164" s="261" t="s">
        <v>815</v>
      </c>
      <c r="O164" s="318"/>
      <c r="P164" s="318"/>
    </row>
    <row r="165" spans="1:16" s="393" customFormat="1" ht="32.25" customHeight="1" x14ac:dyDescent="0.4">
      <c r="A165" s="261">
        <v>183</v>
      </c>
      <c r="B165" s="262" t="s">
        <v>489</v>
      </c>
      <c r="C165" s="193" t="s">
        <v>1372</v>
      </c>
      <c r="D165" s="241" t="s">
        <v>490</v>
      </c>
      <c r="E165" s="261" t="s">
        <v>105</v>
      </c>
      <c r="F165" s="258" t="s">
        <v>2397</v>
      </c>
      <c r="G165" s="264" t="s">
        <v>636</v>
      </c>
      <c r="H165" s="265">
        <v>60000</v>
      </c>
      <c r="I165" s="497">
        <v>150000</v>
      </c>
      <c r="J165" s="215" t="s">
        <v>1370</v>
      </c>
      <c r="K165" s="345">
        <v>1.8</v>
      </c>
      <c r="L165" s="251">
        <v>3000</v>
      </c>
      <c r="M165" s="633" t="s">
        <v>1059</v>
      </c>
      <c r="N165" s="261" t="s">
        <v>1394</v>
      </c>
      <c r="O165" s="318"/>
      <c r="P165" s="318"/>
    </row>
    <row r="166" spans="1:16" s="393" customFormat="1" ht="32.25" customHeight="1" x14ac:dyDescent="0.4">
      <c r="A166" s="261">
        <v>294</v>
      </c>
      <c r="B166" s="262" t="s">
        <v>1197</v>
      </c>
      <c r="C166" s="193" t="s">
        <v>1381</v>
      </c>
      <c r="D166" s="241" t="s">
        <v>11</v>
      </c>
      <c r="E166" s="261" t="s">
        <v>105</v>
      </c>
      <c r="F166" s="258" t="s">
        <v>1403</v>
      </c>
      <c r="G166" s="264" t="s">
        <v>1378</v>
      </c>
      <c r="H166" s="265">
        <v>100000</v>
      </c>
      <c r="I166" s="497">
        <v>180000</v>
      </c>
      <c r="J166" s="215" t="s">
        <v>1382</v>
      </c>
      <c r="K166" s="378">
        <v>0.9</v>
      </c>
      <c r="L166" s="310">
        <v>3000</v>
      </c>
      <c r="M166" s="392" t="s">
        <v>1379</v>
      </c>
      <c r="N166" s="261" t="s">
        <v>1409</v>
      </c>
      <c r="O166" s="318" t="s">
        <v>1404</v>
      </c>
      <c r="P166" s="318"/>
    </row>
    <row r="167" spans="1:16" s="393" customFormat="1" ht="32.25" customHeight="1" x14ac:dyDescent="0.4">
      <c r="A167" s="221">
        <v>95</v>
      </c>
      <c r="B167" s="244" t="s">
        <v>111</v>
      </c>
      <c r="C167" s="193" t="s">
        <v>1385</v>
      </c>
      <c r="D167" s="238" t="s">
        <v>11</v>
      </c>
      <c r="E167" s="221" t="s">
        <v>104</v>
      </c>
      <c r="F167" s="239" t="s">
        <v>1391</v>
      </c>
      <c r="G167" s="245" t="s">
        <v>193</v>
      </c>
      <c r="H167" s="250">
        <v>120000</v>
      </c>
      <c r="I167" s="497">
        <v>90000</v>
      </c>
      <c r="J167" s="215" t="s">
        <v>1386</v>
      </c>
      <c r="K167" s="247">
        <v>1.5</v>
      </c>
      <c r="L167" s="248">
        <v>4000</v>
      </c>
      <c r="M167" s="630" t="s">
        <v>1384</v>
      </c>
      <c r="N167" s="261"/>
      <c r="O167" s="318" t="s">
        <v>1608</v>
      </c>
      <c r="P167" s="318"/>
    </row>
    <row r="168" spans="1:16" s="393" customFormat="1" ht="32.25" customHeight="1" x14ac:dyDescent="0.4">
      <c r="A168" s="261">
        <v>287</v>
      </c>
      <c r="B168" s="262" t="s">
        <v>1197</v>
      </c>
      <c r="C168" s="193" t="s">
        <v>2646</v>
      </c>
      <c r="D168" s="241" t="s">
        <v>490</v>
      </c>
      <c r="E168" s="261" t="s">
        <v>105</v>
      </c>
      <c r="F168" s="258" t="s">
        <v>1352</v>
      </c>
      <c r="G168" s="264" t="s">
        <v>1353</v>
      </c>
      <c r="H168" s="265">
        <v>100000</v>
      </c>
      <c r="I168" s="497">
        <v>195000</v>
      </c>
      <c r="J168" s="215" t="s">
        <v>1386</v>
      </c>
      <c r="K168" s="378">
        <v>1.5</v>
      </c>
      <c r="L168" s="310">
        <v>4500</v>
      </c>
      <c r="M168" s="644" t="s">
        <v>1368</v>
      </c>
      <c r="N168" s="261" t="s">
        <v>1394</v>
      </c>
      <c r="O168" s="318" t="s">
        <v>1369</v>
      </c>
      <c r="P168" s="318"/>
    </row>
    <row r="169" spans="1:16" s="393" customFormat="1" ht="32.25" customHeight="1" x14ac:dyDescent="0.4">
      <c r="A169" s="261">
        <v>292</v>
      </c>
      <c r="B169" s="262" t="s">
        <v>1197</v>
      </c>
      <c r="C169" s="193" t="s">
        <v>1396</v>
      </c>
      <c r="D169" s="241" t="s">
        <v>11</v>
      </c>
      <c r="E169" s="261" t="s">
        <v>104</v>
      </c>
      <c r="F169" s="258" t="s">
        <v>1395</v>
      </c>
      <c r="G169" s="264" t="s">
        <v>1364</v>
      </c>
      <c r="H169" s="265">
        <v>70000</v>
      </c>
      <c r="I169" s="497">
        <v>200000</v>
      </c>
      <c r="J169" s="215" t="s">
        <v>1397</v>
      </c>
      <c r="K169" s="378">
        <v>1.3</v>
      </c>
      <c r="L169" s="310">
        <v>4600</v>
      </c>
      <c r="M169" s="392" t="s">
        <v>1390</v>
      </c>
      <c r="N169" s="261" t="s">
        <v>815</v>
      </c>
      <c r="O169" s="318" t="s">
        <v>1608</v>
      </c>
      <c r="P169" s="318"/>
    </row>
    <row r="170" spans="1:16" s="393" customFormat="1" ht="32.25" customHeight="1" x14ac:dyDescent="0.4">
      <c r="A170" s="261">
        <v>291</v>
      </c>
      <c r="B170" s="262" t="s">
        <v>1197</v>
      </c>
      <c r="C170" s="193" t="s">
        <v>1392</v>
      </c>
      <c r="D170" s="241" t="s">
        <v>11</v>
      </c>
      <c r="E170" s="261" t="s">
        <v>105</v>
      </c>
      <c r="F170" s="258" t="s">
        <v>1363</v>
      </c>
      <c r="G170" s="264" t="s">
        <v>1364</v>
      </c>
      <c r="H170" s="265">
        <v>100000</v>
      </c>
      <c r="I170" s="497">
        <v>180000</v>
      </c>
      <c r="J170" s="215" t="s">
        <v>1393</v>
      </c>
      <c r="K170" s="378">
        <v>1.5</v>
      </c>
      <c r="L170" s="310">
        <v>4000</v>
      </c>
      <c r="M170" s="392" t="s">
        <v>1389</v>
      </c>
      <c r="N170" s="261" t="s">
        <v>1394</v>
      </c>
      <c r="O170" s="318" t="s">
        <v>1401</v>
      </c>
      <c r="P170" s="318"/>
    </row>
    <row r="171" spans="1:16" s="707" customFormat="1" ht="32.25" customHeight="1" x14ac:dyDescent="0.4">
      <c r="A171" s="455">
        <v>230</v>
      </c>
      <c r="B171" s="541" t="s">
        <v>489</v>
      </c>
      <c r="C171" s="572" t="s">
        <v>1425</v>
      </c>
      <c r="D171" s="513" t="s">
        <v>1241</v>
      </c>
      <c r="E171" s="455" t="s">
        <v>1287</v>
      </c>
      <c r="F171" s="542" t="s">
        <v>1288</v>
      </c>
      <c r="G171" s="568" t="s">
        <v>951</v>
      </c>
      <c r="H171" s="543">
        <v>180000</v>
      </c>
      <c r="I171" s="708">
        <v>200000</v>
      </c>
      <c r="J171" s="573" t="s">
        <v>1426</v>
      </c>
      <c r="K171" s="569">
        <v>2</v>
      </c>
      <c r="L171" s="570">
        <v>4500</v>
      </c>
      <c r="M171" s="782" t="s">
        <v>1289</v>
      </c>
      <c r="N171" s="455" t="s">
        <v>1290</v>
      </c>
      <c r="O171" s="545" t="s">
        <v>1431</v>
      </c>
      <c r="P171" s="545"/>
    </row>
    <row r="172" spans="1:16" s="300" customFormat="1" ht="32.25" customHeight="1" x14ac:dyDescent="0.4">
      <c r="A172" s="5">
        <v>300</v>
      </c>
      <c r="B172" s="33" t="s">
        <v>1197</v>
      </c>
      <c r="C172" s="178" t="s">
        <v>1434</v>
      </c>
      <c r="D172" s="172" t="s">
        <v>11</v>
      </c>
      <c r="E172" s="5" t="s">
        <v>105</v>
      </c>
      <c r="F172" s="36" t="s">
        <v>1435</v>
      </c>
      <c r="G172" s="34" t="s">
        <v>1415</v>
      </c>
      <c r="H172" s="108">
        <v>80000</v>
      </c>
      <c r="I172" s="382">
        <v>220000</v>
      </c>
      <c r="J172" s="179" t="s">
        <v>1436</v>
      </c>
      <c r="K172" s="379">
        <v>1.5</v>
      </c>
      <c r="L172" s="82">
        <v>4000</v>
      </c>
      <c r="M172" s="648" t="s">
        <v>1416</v>
      </c>
      <c r="N172" s="5" t="s">
        <v>1322</v>
      </c>
      <c r="O172" s="157" t="s">
        <v>1437</v>
      </c>
      <c r="P172" s="157"/>
    </row>
    <row r="173" spans="1:16" s="300" customFormat="1" ht="32.25" customHeight="1" x14ac:dyDescent="0.4">
      <c r="A173" s="155">
        <v>117</v>
      </c>
      <c r="B173" s="152" t="s">
        <v>678</v>
      </c>
      <c r="C173" s="528" t="s">
        <v>1402</v>
      </c>
      <c r="D173" s="172" t="s">
        <v>483</v>
      </c>
      <c r="E173" s="155" t="s">
        <v>105</v>
      </c>
      <c r="F173" s="180" t="s">
        <v>1259</v>
      </c>
      <c r="G173" s="177" t="s">
        <v>1260</v>
      </c>
      <c r="H173" s="153">
        <v>430000</v>
      </c>
      <c r="I173" s="382">
        <v>415000</v>
      </c>
      <c r="J173" s="179" t="s">
        <v>1468</v>
      </c>
      <c r="K173" s="190">
        <v>2.5</v>
      </c>
      <c r="L173" s="313">
        <v>4300</v>
      </c>
      <c r="M173" s="649" t="s">
        <v>1429</v>
      </c>
      <c r="N173" s="155" t="s">
        <v>1430</v>
      </c>
      <c r="O173" s="157"/>
      <c r="P173" s="157"/>
    </row>
    <row r="174" spans="1:16" s="300" customFormat="1" ht="32.25" customHeight="1" x14ac:dyDescent="0.4">
      <c r="A174" s="5">
        <v>280</v>
      </c>
      <c r="B174" s="33" t="s">
        <v>1271</v>
      </c>
      <c r="C174" s="528" t="s">
        <v>1466</v>
      </c>
      <c r="D174" s="4" t="s">
        <v>11</v>
      </c>
      <c r="E174" s="5" t="s">
        <v>105</v>
      </c>
      <c r="F174" s="36" t="s">
        <v>1272</v>
      </c>
      <c r="G174" s="34" t="s">
        <v>1388</v>
      </c>
      <c r="H174" s="108">
        <v>180000</v>
      </c>
      <c r="I174" s="382">
        <v>475000</v>
      </c>
      <c r="J174" s="179" t="s">
        <v>1467</v>
      </c>
      <c r="K174" s="379">
        <v>1.2</v>
      </c>
      <c r="L174" s="82">
        <v>5500</v>
      </c>
      <c r="M174" s="648" t="s">
        <v>1273</v>
      </c>
      <c r="N174" s="5" t="s">
        <v>815</v>
      </c>
      <c r="O174" s="157"/>
      <c r="P174" s="157"/>
    </row>
    <row r="175" spans="1:16" s="300" customFormat="1" ht="32.25" customHeight="1" x14ac:dyDescent="0.4">
      <c r="A175" s="5">
        <v>307</v>
      </c>
      <c r="B175" s="33" t="s">
        <v>1453</v>
      </c>
      <c r="C175" s="178" t="s">
        <v>1454</v>
      </c>
      <c r="D175" s="4" t="s">
        <v>1455</v>
      </c>
      <c r="E175" s="5" t="s">
        <v>1456</v>
      </c>
      <c r="F175" s="36" t="s">
        <v>1457</v>
      </c>
      <c r="G175" s="34" t="s">
        <v>1458</v>
      </c>
      <c r="H175" s="496">
        <v>1060000</v>
      </c>
      <c r="I175" s="382">
        <v>1190000</v>
      </c>
      <c r="J175" s="179" t="s">
        <v>1459</v>
      </c>
      <c r="K175" s="379">
        <v>3</v>
      </c>
      <c r="L175" s="82">
        <v>4700</v>
      </c>
      <c r="M175" s="648" t="s">
        <v>1460</v>
      </c>
      <c r="N175" s="5" t="s">
        <v>1461</v>
      </c>
      <c r="O175" s="157" t="s">
        <v>1478</v>
      </c>
      <c r="P175" s="157"/>
    </row>
    <row r="176" spans="1:16" s="300" customFormat="1" ht="32.25" customHeight="1" x14ac:dyDescent="0.4">
      <c r="A176" s="5">
        <v>295</v>
      </c>
      <c r="B176" s="33" t="s">
        <v>1197</v>
      </c>
      <c r="C176" s="178" t="s">
        <v>1462</v>
      </c>
      <c r="D176" s="172" t="s">
        <v>11</v>
      </c>
      <c r="E176" s="5" t="s">
        <v>105</v>
      </c>
      <c r="F176" s="36" t="s">
        <v>1405</v>
      </c>
      <c r="G176" s="34" t="s">
        <v>1406</v>
      </c>
      <c r="H176" s="108">
        <v>70000</v>
      </c>
      <c r="I176" s="382">
        <v>240000</v>
      </c>
      <c r="J176" s="179" t="s">
        <v>1463</v>
      </c>
      <c r="K176" s="379">
        <v>1.3</v>
      </c>
      <c r="L176" s="82">
        <v>3000</v>
      </c>
      <c r="M176" s="648" t="s">
        <v>1408</v>
      </c>
      <c r="N176" s="5" t="s">
        <v>815</v>
      </c>
      <c r="O176" s="157" t="s">
        <v>1478</v>
      </c>
      <c r="P176" s="157"/>
    </row>
    <row r="177" spans="1:16" s="300" customFormat="1" ht="32.25" customHeight="1" x14ac:dyDescent="0.4">
      <c r="A177" s="17">
        <v>220</v>
      </c>
      <c r="B177" s="3" t="s">
        <v>489</v>
      </c>
      <c r="C177" s="178" t="s">
        <v>1464</v>
      </c>
      <c r="D177" s="18" t="s">
        <v>783</v>
      </c>
      <c r="E177" s="17" t="s">
        <v>105</v>
      </c>
      <c r="F177" s="19" t="s">
        <v>1060</v>
      </c>
      <c r="G177" s="17" t="s">
        <v>808</v>
      </c>
      <c r="H177" s="110">
        <v>120000</v>
      </c>
      <c r="I177" s="382">
        <v>145000</v>
      </c>
      <c r="J177" s="179" t="s">
        <v>1465</v>
      </c>
      <c r="K177" s="523">
        <v>1.8</v>
      </c>
      <c r="L177" s="524">
        <v>3000</v>
      </c>
      <c r="M177" s="650"/>
      <c r="N177" s="17" t="s">
        <v>815</v>
      </c>
      <c r="O177" s="157" t="s">
        <v>1477</v>
      </c>
      <c r="P177" s="157"/>
    </row>
    <row r="178" spans="1:16" s="300" customFormat="1" ht="32.25" customHeight="1" x14ac:dyDescent="0.4">
      <c r="A178" s="155">
        <v>167</v>
      </c>
      <c r="B178" s="152" t="s">
        <v>489</v>
      </c>
      <c r="C178" s="178" t="s">
        <v>1473</v>
      </c>
      <c r="D178" s="172" t="s">
        <v>490</v>
      </c>
      <c r="E178" s="155" t="s">
        <v>235</v>
      </c>
      <c r="F178" s="180" t="s">
        <v>1057</v>
      </c>
      <c r="G178" s="177" t="s">
        <v>561</v>
      </c>
      <c r="H178" s="153">
        <v>132000</v>
      </c>
      <c r="I178" s="382">
        <v>140000</v>
      </c>
      <c r="J178" s="179" t="s">
        <v>1474</v>
      </c>
      <c r="K178" s="190">
        <v>1.5</v>
      </c>
      <c r="L178" s="132">
        <v>4500</v>
      </c>
      <c r="M178" s="331" t="s">
        <v>1858</v>
      </c>
      <c r="N178" s="155" t="s">
        <v>1322</v>
      </c>
      <c r="O178" s="157" t="s">
        <v>1544</v>
      </c>
      <c r="P178" s="157"/>
    </row>
    <row r="179" spans="1:16" s="300" customFormat="1" ht="32.25" customHeight="1" x14ac:dyDescent="0.4">
      <c r="A179" s="5">
        <v>304</v>
      </c>
      <c r="B179" s="33" t="s">
        <v>1197</v>
      </c>
      <c r="C179" s="178" t="s">
        <v>1475</v>
      </c>
      <c r="D179" s="4" t="s">
        <v>11</v>
      </c>
      <c r="E179" s="5" t="s">
        <v>105</v>
      </c>
      <c r="F179" s="36" t="s">
        <v>1444</v>
      </c>
      <c r="G179" s="34" t="s">
        <v>1445</v>
      </c>
      <c r="H179" s="108">
        <v>75000</v>
      </c>
      <c r="I179" s="536" t="s">
        <v>1486</v>
      </c>
      <c r="J179" s="179" t="s">
        <v>1476</v>
      </c>
      <c r="K179" s="379">
        <v>1.5</v>
      </c>
      <c r="L179" s="82">
        <v>5000</v>
      </c>
      <c r="M179" s="648" t="s">
        <v>1446</v>
      </c>
      <c r="N179" s="5" t="s">
        <v>815</v>
      </c>
      <c r="O179" s="157" t="s">
        <v>1609</v>
      </c>
      <c r="P179" s="157"/>
    </row>
    <row r="180" spans="1:16" s="300" customFormat="1" ht="32.25" customHeight="1" x14ac:dyDescent="0.4">
      <c r="A180" s="155">
        <v>299</v>
      </c>
      <c r="B180" s="152" t="s">
        <v>1197</v>
      </c>
      <c r="C180" s="178" t="s">
        <v>1484</v>
      </c>
      <c r="D180" s="172" t="s">
        <v>11</v>
      </c>
      <c r="E180" s="155" t="s">
        <v>105</v>
      </c>
      <c r="F180" s="180" t="s">
        <v>1487</v>
      </c>
      <c r="G180" s="177" t="s">
        <v>1410</v>
      </c>
      <c r="H180" s="153">
        <v>60000</v>
      </c>
      <c r="I180" s="382">
        <v>120000</v>
      </c>
      <c r="J180" s="179" t="s">
        <v>1485</v>
      </c>
      <c r="K180" s="296">
        <v>0.9</v>
      </c>
      <c r="L180" s="189">
        <v>3000</v>
      </c>
      <c r="M180" s="652" t="s">
        <v>1414</v>
      </c>
      <c r="N180" s="155" t="s">
        <v>1322</v>
      </c>
      <c r="O180" s="157" t="s">
        <v>1521</v>
      </c>
      <c r="P180" s="157"/>
    </row>
    <row r="181" spans="1:16" s="300" customFormat="1" ht="32.25" customHeight="1" x14ac:dyDescent="0.4">
      <c r="A181" s="4">
        <v>7</v>
      </c>
      <c r="B181" s="33"/>
      <c r="C181" s="178" t="s">
        <v>1505</v>
      </c>
      <c r="D181" s="4" t="s">
        <v>9</v>
      </c>
      <c r="E181" s="4" t="s">
        <v>103</v>
      </c>
      <c r="F181" s="538" t="s">
        <v>1504</v>
      </c>
      <c r="G181" s="4"/>
      <c r="H181" s="108">
        <v>280000</v>
      </c>
      <c r="I181" s="382">
        <v>220000</v>
      </c>
      <c r="J181" s="179" t="s">
        <v>1503</v>
      </c>
      <c r="K181" s="515">
        <v>2.5</v>
      </c>
      <c r="L181" s="4">
        <v>4000</v>
      </c>
      <c r="M181" s="493" t="s">
        <v>1502</v>
      </c>
      <c r="N181" s="5"/>
      <c r="O181" s="157" t="s">
        <v>1522</v>
      </c>
      <c r="P181" s="157"/>
    </row>
    <row r="182" spans="1:16" s="300" customFormat="1" ht="32.25" customHeight="1" x14ac:dyDescent="0.4">
      <c r="A182" s="17">
        <v>154</v>
      </c>
      <c r="B182" s="3" t="s">
        <v>489</v>
      </c>
      <c r="C182" s="178" t="s">
        <v>1509</v>
      </c>
      <c r="D182" s="18" t="s">
        <v>11</v>
      </c>
      <c r="E182" s="17" t="s">
        <v>105</v>
      </c>
      <c r="F182" s="19" t="s">
        <v>505</v>
      </c>
      <c r="G182" s="17" t="s">
        <v>506</v>
      </c>
      <c r="H182" s="110">
        <v>80000</v>
      </c>
      <c r="I182" s="382">
        <v>120000</v>
      </c>
      <c r="J182" s="179" t="s">
        <v>1510</v>
      </c>
      <c r="K182" s="523">
        <v>1</v>
      </c>
      <c r="L182" s="524">
        <v>3000</v>
      </c>
      <c r="M182" s="650" t="s">
        <v>508</v>
      </c>
      <c r="N182" s="17" t="s">
        <v>1322</v>
      </c>
      <c r="O182" s="157" t="s">
        <v>1545</v>
      </c>
      <c r="P182" s="157"/>
    </row>
    <row r="183" spans="1:16" s="300" customFormat="1" ht="34" x14ac:dyDescent="0.4">
      <c r="A183" s="5">
        <v>288</v>
      </c>
      <c r="B183" s="33" t="s">
        <v>1488</v>
      </c>
      <c r="C183" s="178" t="s">
        <v>1528</v>
      </c>
      <c r="D183" s="4" t="s">
        <v>1489</v>
      </c>
      <c r="E183" s="5" t="s">
        <v>1346</v>
      </c>
      <c r="F183" s="36" t="s">
        <v>1586</v>
      </c>
      <c r="G183" s="6" t="s">
        <v>1490</v>
      </c>
      <c r="H183" s="108">
        <v>80000</v>
      </c>
      <c r="I183" s="382">
        <v>180000</v>
      </c>
      <c r="J183" s="179" t="s">
        <v>1529</v>
      </c>
      <c r="K183" s="539">
        <v>1.5</v>
      </c>
      <c r="L183" s="540">
        <v>5000</v>
      </c>
      <c r="M183" s="652" t="s">
        <v>1530</v>
      </c>
      <c r="N183" s="155" t="s">
        <v>1443</v>
      </c>
      <c r="O183" s="157" t="s">
        <v>1545</v>
      </c>
      <c r="P183" s="157"/>
    </row>
    <row r="184" spans="1:16" s="300" customFormat="1" ht="32.25" customHeight="1" x14ac:dyDescent="0.4">
      <c r="A184" s="5">
        <v>249</v>
      </c>
      <c r="B184" s="33" t="s">
        <v>588</v>
      </c>
      <c r="C184" s="178" t="s">
        <v>1523</v>
      </c>
      <c r="D184" s="4" t="s">
        <v>9</v>
      </c>
      <c r="E184" s="5" t="s">
        <v>105</v>
      </c>
      <c r="F184" s="36" t="s">
        <v>1515</v>
      </c>
      <c r="G184" s="34" t="s">
        <v>1000</v>
      </c>
      <c r="H184" s="108">
        <v>620000</v>
      </c>
      <c r="I184" s="382">
        <v>571429</v>
      </c>
      <c r="J184" s="179" t="s">
        <v>1539</v>
      </c>
      <c r="K184" s="38">
        <v>4</v>
      </c>
      <c r="L184" s="82">
        <v>4500</v>
      </c>
      <c r="M184" s="648" t="s">
        <v>1001</v>
      </c>
      <c r="N184" s="5" t="s">
        <v>815</v>
      </c>
      <c r="O184" s="157" t="s">
        <v>1522</v>
      </c>
      <c r="P184" s="157"/>
    </row>
    <row r="185" spans="1:16" s="300" customFormat="1" ht="32.25" customHeight="1" x14ac:dyDescent="0.4">
      <c r="A185" s="5">
        <v>177</v>
      </c>
      <c r="B185" s="33" t="s">
        <v>607</v>
      </c>
      <c r="C185" s="178" t="s">
        <v>1538</v>
      </c>
      <c r="D185" s="4" t="s">
        <v>9</v>
      </c>
      <c r="E185" s="5" t="s">
        <v>836</v>
      </c>
      <c r="F185" s="36" t="s">
        <v>1018</v>
      </c>
      <c r="G185" s="34" t="s">
        <v>606</v>
      </c>
      <c r="H185" s="108">
        <v>100000</v>
      </c>
      <c r="I185" s="382">
        <v>150000</v>
      </c>
      <c r="J185" s="179" t="s">
        <v>1541</v>
      </c>
      <c r="K185" s="38">
        <v>3</v>
      </c>
      <c r="L185" s="516"/>
      <c r="M185" s="472"/>
      <c r="N185" s="5" t="s">
        <v>10</v>
      </c>
      <c r="O185" s="157" t="s">
        <v>1543</v>
      </c>
      <c r="P185" s="157"/>
    </row>
    <row r="186" spans="1:16" s="300" customFormat="1" ht="32.25" customHeight="1" x14ac:dyDescent="0.4">
      <c r="A186" s="155">
        <v>296</v>
      </c>
      <c r="B186" s="152" t="s">
        <v>1197</v>
      </c>
      <c r="C186" s="178" t="s">
        <v>1540</v>
      </c>
      <c r="D186" s="172" t="s">
        <v>11</v>
      </c>
      <c r="E186" s="155" t="s">
        <v>105</v>
      </c>
      <c r="F186" s="180" t="s">
        <v>1407</v>
      </c>
      <c r="G186" s="177" t="s">
        <v>1406</v>
      </c>
      <c r="H186" s="153">
        <v>70000</v>
      </c>
      <c r="I186" s="382">
        <v>142857</v>
      </c>
      <c r="J186" s="179" t="s">
        <v>1542</v>
      </c>
      <c r="K186" s="296">
        <v>1.5</v>
      </c>
      <c r="L186" s="189">
        <v>3000</v>
      </c>
      <c r="M186" s="652" t="s">
        <v>1417</v>
      </c>
      <c r="N186" s="155" t="s">
        <v>815</v>
      </c>
      <c r="O186" s="157" t="s">
        <v>1608</v>
      </c>
      <c r="P186" s="157"/>
    </row>
    <row r="187" spans="1:16" s="300" customFormat="1" ht="32.25" customHeight="1" x14ac:dyDescent="0.4">
      <c r="A187" s="5">
        <v>316</v>
      </c>
      <c r="B187" s="33" t="s">
        <v>1554</v>
      </c>
      <c r="C187" s="178" t="s">
        <v>1555</v>
      </c>
      <c r="D187" s="172" t="s">
        <v>1547</v>
      </c>
      <c r="E187" s="5" t="s">
        <v>105</v>
      </c>
      <c r="F187" s="36" t="s">
        <v>1553</v>
      </c>
      <c r="G187" s="34" t="s">
        <v>1548</v>
      </c>
      <c r="H187" s="108">
        <v>180000</v>
      </c>
      <c r="I187" s="382">
        <v>190000</v>
      </c>
      <c r="J187" s="179" t="s">
        <v>1556</v>
      </c>
      <c r="K187" s="379">
        <v>1.5</v>
      </c>
      <c r="L187" s="82">
        <v>3500</v>
      </c>
      <c r="M187" s="648">
        <v>2001.09</v>
      </c>
      <c r="N187" s="5" t="s">
        <v>1567</v>
      </c>
      <c r="O187" s="157" t="s">
        <v>1608</v>
      </c>
      <c r="P187" s="157"/>
    </row>
    <row r="188" spans="1:16" s="300" customFormat="1" ht="32.25" customHeight="1" x14ac:dyDescent="0.4">
      <c r="A188" s="155">
        <v>214</v>
      </c>
      <c r="B188" s="152" t="s">
        <v>584</v>
      </c>
      <c r="C188" s="178" t="s">
        <v>1582</v>
      </c>
      <c r="D188" s="172" t="s">
        <v>152</v>
      </c>
      <c r="E188" s="155" t="s">
        <v>105</v>
      </c>
      <c r="F188" s="180" t="s">
        <v>1580</v>
      </c>
      <c r="G188" s="177" t="s">
        <v>786</v>
      </c>
      <c r="H188" s="153">
        <v>130000</v>
      </c>
      <c r="I188" s="382">
        <v>150000</v>
      </c>
      <c r="J188" s="179" t="s">
        <v>1583</v>
      </c>
      <c r="K188" s="190">
        <v>2.4</v>
      </c>
      <c r="L188" s="313"/>
      <c r="M188" s="653" t="s">
        <v>787</v>
      </c>
      <c r="N188" s="155" t="s">
        <v>666</v>
      </c>
      <c r="O188" s="157"/>
      <c r="P188" s="157"/>
    </row>
    <row r="189" spans="1:16" s="300" customFormat="1" ht="32.25" customHeight="1" x14ac:dyDescent="0.4">
      <c r="A189" s="5">
        <v>274</v>
      </c>
      <c r="B189" s="33" t="s">
        <v>489</v>
      </c>
      <c r="C189" s="178" t="s">
        <v>1582</v>
      </c>
      <c r="D189" s="4" t="s">
        <v>11</v>
      </c>
      <c r="E189" s="5" t="s">
        <v>104</v>
      </c>
      <c r="F189" s="36" t="s">
        <v>1213</v>
      </c>
      <c r="G189" s="34" t="s">
        <v>1211</v>
      </c>
      <c r="H189" s="108">
        <v>155000</v>
      </c>
      <c r="I189" s="382">
        <v>150000</v>
      </c>
      <c r="J189" s="179" t="s">
        <v>1583</v>
      </c>
      <c r="K189" s="379">
        <v>1</v>
      </c>
      <c r="L189" s="82">
        <v>3000</v>
      </c>
      <c r="M189" s="648" t="s">
        <v>1224</v>
      </c>
      <c r="N189" s="5" t="s">
        <v>815</v>
      </c>
      <c r="O189" s="157"/>
      <c r="P189" s="157"/>
    </row>
    <row r="190" spans="1:16" s="300" customFormat="1" ht="32.25" customHeight="1" x14ac:dyDescent="0.4">
      <c r="A190" s="5">
        <v>318</v>
      </c>
      <c r="B190" s="33" t="s">
        <v>1197</v>
      </c>
      <c r="C190" s="178" t="s">
        <v>1582</v>
      </c>
      <c r="D190" s="172" t="s">
        <v>240</v>
      </c>
      <c r="E190" s="5" t="s">
        <v>105</v>
      </c>
      <c r="F190" s="36" t="s">
        <v>1581</v>
      </c>
      <c r="G190" s="34" t="s">
        <v>1557</v>
      </c>
      <c r="H190" s="108">
        <v>200000</v>
      </c>
      <c r="I190" s="382">
        <v>150000</v>
      </c>
      <c r="J190" s="179" t="s">
        <v>1583</v>
      </c>
      <c r="K190" s="379">
        <v>3</v>
      </c>
      <c r="L190" s="82">
        <v>5000</v>
      </c>
      <c r="M190" s="654" t="s">
        <v>1565</v>
      </c>
      <c r="N190" s="5" t="s">
        <v>815</v>
      </c>
      <c r="O190" s="157"/>
      <c r="P190" s="157"/>
    </row>
    <row r="191" spans="1:16" s="300" customFormat="1" ht="32.25" customHeight="1" x14ac:dyDescent="0.4">
      <c r="A191" s="155">
        <v>237</v>
      </c>
      <c r="B191" s="152" t="s">
        <v>1307</v>
      </c>
      <c r="C191" s="178" t="s">
        <v>1587</v>
      </c>
      <c r="D191" s="172" t="s">
        <v>483</v>
      </c>
      <c r="E191" s="155" t="s">
        <v>235</v>
      </c>
      <c r="F191" s="180" t="s">
        <v>931</v>
      </c>
      <c r="G191" s="177" t="s">
        <v>906</v>
      </c>
      <c r="H191" s="153">
        <v>320000</v>
      </c>
      <c r="I191" s="382">
        <v>410000</v>
      </c>
      <c r="J191" s="179" t="s">
        <v>1590</v>
      </c>
      <c r="K191" s="190">
        <v>3</v>
      </c>
      <c r="L191" s="313">
        <v>3000</v>
      </c>
      <c r="M191" s="649" t="s">
        <v>907</v>
      </c>
      <c r="N191" s="155" t="s">
        <v>854</v>
      </c>
      <c r="O191" s="157" t="s">
        <v>1591</v>
      </c>
      <c r="P191" s="157"/>
    </row>
    <row r="192" spans="1:16" s="300" customFormat="1" ht="32.25" customHeight="1" x14ac:dyDescent="0.4">
      <c r="A192" s="155">
        <v>231</v>
      </c>
      <c r="B192" s="152" t="s">
        <v>588</v>
      </c>
      <c r="C192" s="178" t="s">
        <v>3103</v>
      </c>
      <c r="D192" s="172" t="s">
        <v>9</v>
      </c>
      <c r="E192" s="155" t="s">
        <v>105</v>
      </c>
      <c r="F192" s="180" t="s">
        <v>1589</v>
      </c>
      <c r="G192" s="177" t="s">
        <v>875</v>
      </c>
      <c r="H192" s="153">
        <v>180000</v>
      </c>
      <c r="I192" s="382">
        <v>150000</v>
      </c>
      <c r="J192" s="179"/>
      <c r="K192" s="190">
        <v>3.5</v>
      </c>
      <c r="L192" s="313">
        <v>4300</v>
      </c>
      <c r="M192" s="649" t="s">
        <v>1524</v>
      </c>
      <c r="N192" s="155" t="s">
        <v>862</v>
      </c>
      <c r="O192" s="157"/>
      <c r="P192" s="157"/>
    </row>
    <row r="193" spans="1:16" s="106" customFormat="1" ht="33" customHeight="1" x14ac:dyDescent="0.4">
      <c r="A193" s="467">
        <v>1</v>
      </c>
      <c r="B193" s="559" t="s">
        <v>1593</v>
      </c>
      <c r="C193" s="178" t="s">
        <v>1582</v>
      </c>
      <c r="D193" s="295" t="s">
        <v>9</v>
      </c>
      <c r="E193" s="467" t="s">
        <v>103</v>
      </c>
      <c r="F193" s="555" t="s">
        <v>529</v>
      </c>
      <c r="G193" s="556"/>
      <c r="H193" s="108">
        <v>409000</v>
      </c>
      <c r="I193" s="382">
        <v>150000</v>
      </c>
      <c r="J193" s="179"/>
      <c r="K193" s="557">
        <v>3</v>
      </c>
      <c r="L193" s="558">
        <v>5000</v>
      </c>
      <c r="M193" s="312" t="s">
        <v>522</v>
      </c>
      <c r="N193" s="139" t="s">
        <v>474</v>
      </c>
    </row>
    <row r="194" spans="1:16" s="300" customFormat="1" ht="32.25" customHeight="1" x14ac:dyDescent="0.4">
      <c r="A194" s="5">
        <v>303</v>
      </c>
      <c r="B194" s="33" t="s">
        <v>659</v>
      </c>
      <c r="C194" s="178" t="s">
        <v>1582</v>
      </c>
      <c r="D194" s="172" t="s">
        <v>483</v>
      </c>
      <c r="E194" s="5" t="s">
        <v>135</v>
      </c>
      <c r="F194" s="36" t="s">
        <v>1432</v>
      </c>
      <c r="G194" s="34" t="s">
        <v>1433</v>
      </c>
      <c r="H194" s="108">
        <v>30000</v>
      </c>
      <c r="I194" s="382">
        <v>150000</v>
      </c>
      <c r="J194" s="7"/>
      <c r="K194" s="379">
        <v>5</v>
      </c>
      <c r="L194" s="82">
        <v>4000</v>
      </c>
      <c r="M194" s="648">
        <v>2011.07</v>
      </c>
      <c r="N194" s="5" t="s">
        <v>10</v>
      </c>
      <c r="O194" s="41"/>
      <c r="P194" s="157"/>
    </row>
    <row r="195" spans="1:16" s="300" customFormat="1" ht="32.25" customHeight="1" x14ac:dyDescent="0.4">
      <c r="A195" s="5">
        <v>102</v>
      </c>
      <c r="B195" s="152" t="s">
        <v>1029</v>
      </c>
      <c r="C195" s="178" t="s">
        <v>1582</v>
      </c>
      <c r="D195" s="172" t="s">
        <v>1030</v>
      </c>
      <c r="E195" s="155" t="s">
        <v>1031</v>
      </c>
      <c r="F195" s="180" t="s">
        <v>1032</v>
      </c>
      <c r="G195" s="177" t="s">
        <v>1033</v>
      </c>
      <c r="H195" s="153">
        <v>135000</v>
      </c>
      <c r="I195" s="382">
        <v>150000</v>
      </c>
      <c r="J195" s="179" t="s">
        <v>1595</v>
      </c>
      <c r="K195" s="190">
        <v>2</v>
      </c>
      <c r="L195" s="313">
        <v>3000</v>
      </c>
      <c r="M195" s="331" t="s">
        <v>1034</v>
      </c>
      <c r="N195" s="5" t="s">
        <v>3180</v>
      </c>
      <c r="O195" s="157"/>
      <c r="P195" s="157"/>
    </row>
    <row r="196" spans="1:16" s="113" customFormat="1" ht="32.25" customHeight="1" x14ac:dyDescent="0.4">
      <c r="A196" s="5">
        <v>319</v>
      </c>
      <c r="B196" s="33" t="s">
        <v>1197</v>
      </c>
      <c r="C196" s="178" t="s">
        <v>1582</v>
      </c>
      <c r="D196" s="172" t="s">
        <v>14</v>
      </c>
      <c r="E196" s="5" t="s">
        <v>105</v>
      </c>
      <c r="F196" s="36" t="s">
        <v>1594</v>
      </c>
      <c r="G196" s="34" t="s">
        <v>1557</v>
      </c>
      <c r="H196" s="108">
        <v>75000</v>
      </c>
      <c r="I196" s="382">
        <v>150000</v>
      </c>
      <c r="J196" s="4"/>
      <c r="K196" s="379">
        <v>2.5</v>
      </c>
      <c r="L196" s="82">
        <v>6300</v>
      </c>
      <c r="M196" s="648" t="s">
        <v>1563</v>
      </c>
      <c r="N196" s="5" t="s">
        <v>815</v>
      </c>
      <c r="O196" s="157"/>
      <c r="P196" s="2"/>
    </row>
    <row r="197" spans="1:16" s="113" customFormat="1" ht="32.25" customHeight="1" x14ac:dyDescent="0.4">
      <c r="A197" s="5">
        <v>326</v>
      </c>
      <c r="B197" s="33" t="s">
        <v>1624</v>
      </c>
      <c r="C197" s="563" t="s">
        <v>1634</v>
      </c>
      <c r="D197" s="172" t="s">
        <v>1625</v>
      </c>
      <c r="E197" s="5" t="s">
        <v>105</v>
      </c>
      <c r="F197" s="36" t="s">
        <v>1631</v>
      </c>
      <c r="G197" s="34" t="s">
        <v>1626</v>
      </c>
      <c r="H197" s="108">
        <v>1105000</v>
      </c>
      <c r="I197" s="382">
        <v>1275000</v>
      </c>
      <c r="J197" s="179" t="s">
        <v>1632</v>
      </c>
      <c r="K197" s="379">
        <v>3.5</v>
      </c>
      <c r="L197" s="82">
        <v>4000</v>
      </c>
      <c r="M197" s="654">
        <v>2020</v>
      </c>
      <c r="N197" s="5" t="s">
        <v>1443</v>
      </c>
      <c r="O197" s="157" t="s">
        <v>1633</v>
      </c>
      <c r="P197" s="2"/>
    </row>
    <row r="198" spans="1:16" s="113" customFormat="1" ht="32.25" customHeight="1" x14ac:dyDescent="0.4">
      <c r="A198" s="17">
        <v>81</v>
      </c>
      <c r="B198" s="3" t="s">
        <v>8</v>
      </c>
      <c r="C198" s="178" t="s">
        <v>1635</v>
      </c>
      <c r="D198" s="18" t="s">
        <v>11</v>
      </c>
      <c r="E198" s="17" t="s">
        <v>105</v>
      </c>
      <c r="F198" s="19" t="s">
        <v>143</v>
      </c>
      <c r="G198" s="32">
        <v>41604</v>
      </c>
      <c r="H198" s="110">
        <v>87500</v>
      </c>
      <c r="I198" s="382">
        <v>171429</v>
      </c>
      <c r="J198" s="179" t="s">
        <v>1636</v>
      </c>
      <c r="K198" s="37">
        <v>1</v>
      </c>
      <c r="L198" s="31">
        <v>3000</v>
      </c>
      <c r="M198" s="655" t="s">
        <v>391</v>
      </c>
      <c r="N198" s="5" t="s">
        <v>3180</v>
      </c>
      <c r="O198" s="157"/>
      <c r="P198" s="2"/>
    </row>
    <row r="199" spans="1:16" s="113" customFormat="1" ht="32.25" customHeight="1" x14ac:dyDescent="0.4">
      <c r="A199" s="5">
        <v>320</v>
      </c>
      <c r="B199" s="33" t="s">
        <v>1568</v>
      </c>
      <c r="C199" s="178" t="s">
        <v>1675</v>
      </c>
      <c r="D199" s="4" t="s">
        <v>1570</v>
      </c>
      <c r="E199" s="5" t="s">
        <v>1605</v>
      </c>
      <c r="F199" s="36" t="s">
        <v>1606</v>
      </c>
      <c r="G199" s="34" t="s">
        <v>1569</v>
      </c>
      <c r="H199" s="108">
        <v>90000</v>
      </c>
      <c r="I199" s="382">
        <v>175000</v>
      </c>
      <c r="J199" s="179" t="s">
        <v>1674</v>
      </c>
      <c r="K199" s="379">
        <v>2.5</v>
      </c>
      <c r="L199" s="82">
        <v>3000</v>
      </c>
      <c r="M199" s="655"/>
      <c r="N199" s="5" t="s">
        <v>3179</v>
      </c>
      <c r="O199" s="157"/>
      <c r="P199" s="2"/>
    </row>
    <row r="200" spans="1:16" s="113" customFormat="1" ht="32.25" customHeight="1" x14ac:dyDescent="0.4">
      <c r="A200" s="5">
        <v>323</v>
      </c>
      <c r="B200" s="33" t="s">
        <v>1197</v>
      </c>
      <c r="C200" s="178" t="s">
        <v>1673</v>
      </c>
      <c r="D200" s="172" t="s">
        <v>766</v>
      </c>
      <c r="E200" s="5" t="s">
        <v>1601</v>
      </c>
      <c r="F200" s="36">
        <v>6009100</v>
      </c>
      <c r="G200" s="34" t="s">
        <v>1602</v>
      </c>
      <c r="H200" s="108">
        <v>150000</v>
      </c>
      <c r="I200" s="382"/>
      <c r="J200" s="179" t="s">
        <v>1676</v>
      </c>
      <c r="K200" s="379">
        <v>2</v>
      </c>
      <c r="L200" s="82">
        <v>2250</v>
      </c>
      <c r="M200" s="654" t="s">
        <v>1603</v>
      </c>
      <c r="N200" s="5" t="s">
        <v>666</v>
      </c>
      <c r="O200" s="157"/>
      <c r="P200" s="2"/>
    </row>
    <row r="201" spans="1:16" s="113" customFormat="1" ht="32.25" customHeight="1" x14ac:dyDescent="0.4">
      <c r="A201" s="33">
        <v>144</v>
      </c>
      <c r="B201" s="33" t="s">
        <v>291</v>
      </c>
      <c r="C201" s="178" t="s">
        <v>1673</v>
      </c>
      <c r="D201" s="33" t="s">
        <v>9</v>
      </c>
      <c r="E201" s="33" t="s">
        <v>466</v>
      </c>
      <c r="F201" s="124" t="s">
        <v>2067</v>
      </c>
      <c r="G201" s="33" t="s">
        <v>468</v>
      </c>
      <c r="H201" s="108">
        <v>85000</v>
      </c>
      <c r="I201" s="567"/>
      <c r="J201" s="179" t="s">
        <v>1677</v>
      </c>
      <c r="K201" s="38">
        <v>2.5</v>
      </c>
      <c r="L201" s="516">
        <v>3000</v>
      </c>
      <c r="M201" s="648" t="s">
        <v>1082</v>
      </c>
      <c r="N201" s="5" t="s">
        <v>1579</v>
      </c>
      <c r="O201" s="157"/>
      <c r="P201" s="2"/>
    </row>
    <row r="202" spans="1:16" s="113" customFormat="1" ht="32.25" customHeight="1" x14ac:dyDescent="0.4">
      <c r="A202" s="5">
        <v>232</v>
      </c>
      <c r="B202" s="33" t="s">
        <v>489</v>
      </c>
      <c r="C202" s="178"/>
      <c r="D202" s="4" t="s">
        <v>483</v>
      </c>
      <c r="E202" s="5" t="s">
        <v>103</v>
      </c>
      <c r="F202" s="36" t="s">
        <v>1588</v>
      </c>
      <c r="G202" s="34" t="s">
        <v>896</v>
      </c>
      <c r="H202" s="108">
        <v>310000</v>
      </c>
      <c r="I202" s="382"/>
      <c r="J202" s="179"/>
      <c r="K202" s="38">
        <v>2.5</v>
      </c>
      <c r="L202" s="516">
        <v>4000</v>
      </c>
      <c r="M202" s="647" t="s">
        <v>1469</v>
      </c>
      <c r="N202" s="5" t="s">
        <v>815</v>
      </c>
      <c r="O202" s="2" t="s">
        <v>1678</v>
      </c>
      <c r="P202" s="2"/>
    </row>
    <row r="203" spans="1:16" s="300" customFormat="1" ht="32.25" customHeight="1" x14ac:dyDescent="0.4">
      <c r="A203" s="155">
        <v>315</v>
      </c>
      <c r="B203" s="152" t="s">
        <v>1197</v>
      </c>
      <c r="C203" s="178" t="s">
        <v>2066</v>
      </c>
      <c r="D203" s="172" t="s">
        <v>240</v>
      </c>
      <c r="E203" s="155" t="s">
        <v>1680</v>
      </c>
      <c r="F203" s="180" t="s">
        <v>1681</v>
      </c>
      <c r="G203" s="177" t="s">
        <v>1534</v>
      </c>
      <c r="H203" s="153">
        <v>70000</v>
      </c>
      <c r="I203" s="382"/>
      <c r="J203" s="179"/>
      <c r="K203" s="296">
        <v>2.5</v>
      </c>
      <c r="L203" s="189">
        <v>4000</v>
      </c>
      <c r="M203" s="652" t="s">
        <v>1535</v>
      </c>
      <c r="N203" s="155" t="s">
        <v>1679</v>
      </c>
      <c r="O203" s="130" t="s">
        <v>1592</v>
      </c>
      <c r="P203" s="157"/>
    </row>
    <row r="204" spans="1:16" s="113" customFormat="1" ht="32.25" customHeight="1" x14ac:dyDescent="0.4">
      <c r="A204" s="5">
        <v>327</v>
      </c>
      <c r="B204" s="33" t="s">
        <v>1197</v>
      </c>
      <c r="C204" s="178" t="s">
        <v>1683</v>
      </c>
      <c r="D204" s="4" t="s">
        <v>490</v>
      </c>
      <c r="E204" s="5" t="s">
        <v>105</v>
      </c>
      <c r="F204" s="36" t="s">
        <v>1682</v>
      </c>
      <c r="G204" s="34" t="s">
        <v>1629</v>
      </c>
      <c r="H204" s="108">
        <v>60000</v>
      </c>
      <c r="I204" s="382">
        <v>133333</v>
      </c>
      <c r="J204" s="179" t="s">
        <v>1684</v>
      </c>
      <c r="K204" s="379">
        <v>1.5</v>
      </c>
      <c r="L204" s="82">
        <v>4000</v>
      </c>
      <c r="M204" s="654" t="s">
        <v>1630</v>
      </c>
      <c r="N204" s="5" t="s">
        <v>854</v>
      </c>
      <c r="O204" s="157"/>
      <c r="P204" s="2"/>
    </row>
    <row r="205" spans="1:16" s="113" customFormat="1" ht="32.25" customHeight="1" x14ac:dyDescent="0.4">
      <c r="A205" s="5">
        <v>22</v>
      </c>
      <c r="B205" s="33" t="s">
        <v>1833</v>
      </c>
      <c r="C205" s="178" t="s">
        <v>2069</v>
      </c>
      <c r="D205" s="4" t="s">
        <v>1547</v>
      </c>
      <c r="E205" s="5" t="s">
        <v>1963</v>
      </c>
      <c r="F205" s="36" t="s">
        <v>2068</v>
      </c>
      <c r="G205" s="34" t="s">
        <v>2070</v>
      </c>
      <c r="H205" s="108">
        <v>280000</v>
      </c>
      <c r="I205" s="382">
        <v>340000</v>
      </c>
      <c r="J205" s="179">
        <v>110.01</v>
      </c>
      <c r="K205" s="379">
        <v>2.5</v>
      </c>
      <c r="L205" s="82">
        <v>4000</v>
      </c>
      <c r="M205" s="654" t="s">
        <v>2565</v>
      </c>
      <c r="N205" s="5"/>
      <c r="O205" s="157"/>
      <c r="P205" s="2"/>
    </row>
    <row r="206" spans="1:16" s="113" customFormat="1" ht="32.25" customHeight="1" x14ac:dyDescent="0.4">
      <c r="A206" s="5">
        <v>309</v>
      </c>
      <c r="B206" s="33" t="s">
        <v>1197</v>
      </c>
      <c r="C206" s="178" t="s">
        <v>1898</v>
      </c>
      <c r="D206" s="4" t="s">
        <v>200</v>
      </c>
      <c r="E206" s="5" t="s">
        <v>1900</v>
      </c>
      <c r="F206" s="36" t="s">
        <v>1896</v>
      </c>
      <c r="G206" s="34" t="s">
        <v>1897</v>
      </c>
      <c r="H206" s="108">
        <v>50000</v>
      </c>
      <c r="I206" s="382">
        <v>140000</v>
      </c>
      <c r="J206" s="573" t="s">
        <v>2786</v>
      </c>
      <c r="K206" s="379">
        <v>1.3</v>
      </c>
      <c r="L206" s="82">
        <v>4730</v>
      </c>
      <c r="M206" s="654" t="s">
        <v>1899</v>
      </c>
      <c r="N206" s="5" t="s">
        <v>3179</v>
      </c>
      <c r="O206" s="157"/>
      <c r="P206" s="2"/>
    </row>
    <row r="207" spans="1:16" s="300" customFormat="1" ht="32.25" customHeight="1" x14ac:dyDescent="0.4">
      <c r="A207" s="155">
        <v>331</v>
      </c>
      <c r="B207" s="152" t="s">
        <v>1197</v>
      </c>
      <c r="C207" s="178" t="s">
        <v>1695</v>
      </c>
      <c r="D207" s="172" t="s">
        <v>11</v>
      </c>
      <c r="E207" s="155" t="s">
        <v>2518</v>
      </c>
      <c r="F207" s="180" t="s">
        <v>1692</v>
      </c>
      <c r="G207" s="177" t="s">
        <v>1693</v>
      </c>
      <c r="H207" s="153">
        <v>90000</v>
      </c>
      <c r="I207" s="382">
        <v>160000</v>
      </c>
      <c r="J207" s="172"/>
      <c r="K207" s="296">
        <v>1.3</v>
      </c>
      <c r="L207" s="189"/>
      <c r="M207" s="652">
        <v>2005</v>
      </c>
      <c r="N207" s="155" t="s">
        <v>3180</v>
      </c>
      <c r="O207" s="157"/>
    </row>
    <row r="208" spans="1:16" s="113" customFormat="1" ht="32.25" customHeight="1" x14ac:dyDescent="0.4">
      <c r="A208" s="5">
        <v>311</v>
      </c>
      <c r="B208" s="33" t="s">
        <v>1197</v>
      </c>
      <c r="C208" s="178" t="s">
        <v>1696</v>
      </c>
      <c r="D208" s="172" t="s">
        <v>656</v>
      </c>
      <c r="E208" s="5" t="s">
        <v>105</v>
      </c>
      <c r="F208" s="36" t="s">
        <v>1697</v>
      </c>
      <c r="G208" s="34" t="s">
        <v>1507</v>
      </c>
      <c r="H208" s="108">
        <v>30000</v>
      </c>
      <c r="I208" s="382">
        <v>200000</v>
      </c>
      <c r="J208" s="7"/>
      <c r="K208" s="379">
        <v>1</v>
      </c>
      <c r="L208" s="82">
        <v>3000</v>
      </c>
      <c r="M208" s="648"/>
      <c r="N208" s="5" t="s">
        <v>854</v>
      </c>
      <c r="O208" s="2"/>
      <c r="P208" s="2"/>
    </row>
    <row r="209" spans="1:16" s="113" customFormat="1" ht="32.25" customHeight="1" x14ac:dyDescent="0.4">
      <c r="A209" s="5">
        <v>330</v>
      </c>
      <c r="B209" s="33" t="s">
        <v>1197</v>
      </c>
      <c r="C209" s="178"/>
      <c r="D209" s="172" t="s">
        <v>11</v>
      </c>
      <c r="E209" s="5" t="s">
        <v>105</v>
      </c>
      <c r="F209" s="36" t="s">
        <v>1718</v>
      </c>
      <c r="G209" s="34" t="s">
        <v>1689</v>
      </c>
      <c r="H209" s="108">
        <v>80000</v>
      </c>
      <c r="I209" s="382"/>
      <c r="J209" s="179"/>
      <c r="K209" s="379">
        <v>1.5</v>
      </c>
      <c r="L209" s="82">
        <v>4000</v>
      </c>
      <c r="M209" s="648" t="s">
        <v>1690</v>
      </c>
      <c r="N209" s="5" t="s">
        <v>815</v>
      </c>
      <c r="O209" s="157" t="s">
        <v>1703</v>
      </c>
      <c r="P209" s="2"/>
    </row>
    <row r="210" spans="1:16" s="113" customFormat="1" ht="32.25" customHeight="1" x14ac:dyDescent="0.4">
      <c r="A210" s="5">
        <v>308</v>
      </c>
      <c r="B210" s="33" t="s">
        <v>1712</v>
      </c>
      <c r="C210" s="178" t="s">
        <v>1714</v>
      </c>
      <c r="D210" s="172" t="s">
        <v>776</v>
      </c>
      <c r="E210" s="4" t="s">
        <v>1605</v>
      </c>
      <c r="F210" s="571" t="s">
        <v>1713</v>
      </c>
      <c r="G210" s="34" t="s">
        <v>1715</v>
      </c>
      <c r="H210" s="108">
        <v>80000</v>
      </c>
      <c r="I210" s="382">
        <v>150000</v>
      </c>
      <c r="J210" s="179" t="s">
        <v>1716</v>
      </c>
      <c r="K210" s="379">
        <v>1.5</v>
      </c>
      <c r="L210" s="82">
        <v>5500</v>
      </c>
      <c r="M210" s="648" t="s">
        <v>1483</v>
      </c>
      <c r="N210" s="5" t="s">
        <v>3179</v>
      </c>
      <c r="O210" s="157"/>
      <c r="P210" s="2"/>
    </row>
    <row r="211" spans="1:16" s="113" customFormat="1" ht="32.25" customHeight="1" x14ac:dyDescent="0.4">
      <c r="A211" s="5">
        <v>279</v>
      </c>
      <c r="B211" s="152" t="s">
        <v>828</v>
      </c>
      <c r="C211" s="178" t="s">
        <v>2945</v>
      </c>
      <c r="D211" s="172" t="s">
        <v>490</v>
      </c>
      <c r="E211" s="155" t="s">
        <v>105</v>
      </c>
      <c r="F211" s="180" t="s">
        <v>1264</v>
      </c>
      <c r="G211" s="177" t="s">
        <v>1249</v>
      </c>
      <c r="H211" s="153">
        <v>120000</v>
      </c>
      <c r="I211" s="382">
        <v>150000</v>
      </c>
      <c r="J211" s="179" t="s">
        <v>1717</v>
      </c>
      <c r="K211" s="296">
        <v>1.5</v>
      </c>
      <c r="L211" s="189">
        <v>4000</v>
      </c>
      <c r="M211" s="656" t="s">
        <v>1265</v>
      </c>
      <c r="N211" s="5" t="s">
        <v>3180</v>
      </c>
      <c r="O211" s="157"/>
      <c r="P211" s="2"/>
    </row>
    <row r="212" spans="1:16" s="113" customFormat="1" ht="32.25" customHeight="1" x14ac:dyDescent="0.4">
      <c r="A212" s="5">
        <v>229</v>
      </c>
      <c r="B212" s="152" t="s">
        <v>1855</v>
      </c>
      <c r="C212" s="178" t="s">
        <v>1849</v>
      </c>
      <c r="D212" s="172" t="s">
        <v>1850</v>
      </c>
      <c r="E212" s="155" t="s">
        <v>1851</v>
      </c>
      <c r="F212" s="180" t="s">
        <v>1852</v>
      </c>
      <c r="G212" s="177" t="s">
        <v>1853</v>
      </c>
      <c r="H212" s="153">
        <v>400000</v>
      </c>
      <c r="I212" s="382"/>
      <c r="J212" s="179" t="s">
        <v>1854</v>
      </c>
      <c r="K212" s="296">
        <v>3</v>
      </c>
      <c r="L212" s="189">
        <v>5000</v>
      </c>
      <c r="M212" s="652">
        <v>2013.02</v>
      </c>
      <c r="N212" s="5" t="s">
        <v>3180</v>
      </c>
      <c r="O212" s="157"/>
      <c r="P212" s="2"/>
    </row>
    <row r="213" spans="1:16" s="113" customFormat="1" ht="32.25" customHeight="1" x14ac:dyDescent="0.4">
      <c r="A213" s="5">
        <v>334</v>
      </c>
      <c r="B213" s="152" t="s">
        <v>1712</v>
      </c>
      <c r="C213" s="178" t="s">
        <v>2322</v>
      </c>
      <c r="D213" s="172" t="s">
        <v>1547</v>
      </c>
      <c r="E213" s="155" t="s">
        <v>1605</v>
      </c>
      <c r="F213" s="180" t="s">
        <v>2320</v>
      </c>
      <c r="G213" s="177" t="s">
        <v>2321</v>
      </c>
      <c r="H213" s="153">
        <v>165000</v>
      </c>
      <c r="I213" s="382">
        <v>300000</v>
      </c>
      <c r="J213" s="179" t="s">
        <v>2323</v>
      </c>
      <c r="K213" s="296">
        <v>1.5</v>
      </c>
      <c r="L213" s="189">
        <v>3000</v>
      </c>
      <c r="M213" s="652" t="s">
        <v>2324</v>
      </c>
      <c r="N213" s="5" t="s">
        <v>815</v>
      </c>
      <c r="O213" s="157"/>
      <c r="P213" s="2"/>
    </row>
    <row r="214" spans="1:16" s="591" customFormat="1" ht="32.25" customHeight="1" x14ac:dyDescent="0.4">
      <c r="A214" s="579">
        <v>340</v>
      </c>
      <c r="B214" s="580" t="s">
        <v>1712</v>
      </c>
      <c r="C214" s="581" t="s">
        <v>1756</v>
      </c>
      <c r="D214" s="582" t="s">
        <v>11</v>
      </c>
      <c r="E214" s="579" t="s">
        <v>579</v>
      </c>
      <c r="F214" s="583" t="s">
        <v>1720</v>
      </c>
      <c r="G214" s="584" t="s">
        <v>1705</v>
      </c>
      <c r="H214" s="585">
        <v>60000</v>
      </c>
      <c r="I214" s="586">
        <v>240000</v>
      </c>
      <c r="J214" s="587"/>
      <c r="K214" s="588">
        <v>1.3</v>
      </c>
      <c r="L214" s="589">
        <v>4000</v>
      </c>
      <c r="M214" s="657" t="s">
        <v>1758</v>
      </c>
      <c r="N214" s="579" t="s">
        <v>815</v>
      </c>
      <c r="O214" s="590"/>
      <c r="P214" s="590"/>
    </row>
    <row r="215" spans="1:16" s="591" customFormat="1" ht="32.25" customHeight="1" x14ac:dyDescent="0.4">
      <c r="A215" s="579">
        <v>225</v>
      </c>
      <c r="B215" s="580" t="s">
        <v>1733</v>
      </c>
      <c r="C215" s="581" t="s">
        <v>1752</v>
      </c>
      <c r="D215" s="582" t="s">
        <v>1137</v>
      </c>
      <c r="E215" s="579" t="s">
        <v>1295</v>
      </c>
      <c r="F215" s="583" t="s">
        <v>1753</v>
      </c>
      <c r="G215" s="584" t="s">
        <v>1296</v>
      </c>
      <c r="H215" s="585">
        <v>260000</v>
      </c>
      <c r="I215" s="586">
        <v>350000</v>
      </c>
      <c r="J215" s="587" t="s">
        <v>1735</v>
      </c>
      <c r="K215" s="588">
        <v>2</v>
      </c>
      <c r="L215" s="592">
        <v>4000</v>
      </c>
      <c r="M215" s="658"/>
      <c r="N215" s="579" t="s">
        <v>815</v>
      </c>
      <c r="O215" s="590"/>
      <c r="P215" s="590"/>
    </row>
    <row r="216" spans="1:16" s="591" customFormat="1" ht="32.25" customHeight="1" x14ac:dyDescent="0.4">
      <c r="A216" s="579">
        <v>222</v>
      </c>
      <c r="B216" s="580" t="s">
        <v>588</v>
      </c>
      <c r="C216" s="581" t="s">
        <v>1734</v>
      </c>
      <c r="D216" s="582" t="s">
        <v>250</v>
      </c>
      <c r="E216" s="579" t="s">
        <v>1605</v>
      </c>
      <c r="F216" s="583" t="s">
        <v>1747</v>
      </c>
      <c r="G216" s="593" t="s">
        <v>1748</v>
      </c>
      <c r="H216" s="585">
        <v>470000</v>
      </c>
      <c r="I216" s="586">
        <v>350000</v>
      </c>
      <c r="J216" s="587"/>
      <c r="K216" s="588">
        <v>3.5</v>
      </c>
      <c r="L216" s="592">
        <v>4000</v>
      </c>
      <c r="M216" s="659" t="s">
        <v>1749</v>
      </c>
      <c r="N216" s="579" t="s">
        <v>1322</v>
      </c>
      <c r="O216" s="590"/>
      <c r="P216" s="590"/>
    </row>
    <row r="217" spans="1:16" s="591" customFormat="1" ht="32.25" customHeight="1" x14ac:dyDescent="0.4">
      <c r="A217" s="579">
        <v>312</v>
      </c>
      <c r="B217" s="580" t="s">
        <v>1712</v>
      </c>
      <c r="C217" s="581" t="s">
        <v>1757</v>
      </c>
      <c r="D217" s="582" t="s">
        <v>11</v>
      </c>
      <c r="E217" s="579" t="s">
        <v>1491</v>
      </c>
      <c r="F217" s="583" t="s">
        <v>1512</v>
      </c>
      <c r="G217" s="584" t="s">
        <v>1508</v>
      </c>
      <c r="H217" s="585">
        <v>70000</v>
      </c>
      <c r="I217" s="586">
        <v>140000</v>
      </c>
      <c r="J217" s="587"/>
      <c r="K217" s="594">
        <v>2.5</v>
      </c>
      <c r="L217" s="589">
        <v>3000</v>
      </c>
      <c r="M217" s="658" t="s">
        <v>1759</v>
      </c>
      <c r="N217" s="579" t="s">
        <v>815</v>
      </c>
      <c r="O217" s="590"/>
      <c r="P217" s="590"/>
    </row>
    <row r="218" spans="1:16" s="300" customFormat="1" ht="32.25" customHeight="1" x14ac:dyDescent="0.4">
      <c r="A218" s="155">
        <v>321</v>
      </c>
      <c r="B218" s="152" t="s">
        <v>1712</v>
      </c>
      <c r="C218" s="178" t="s">
        <v>1738</v>
      </c>
      <c r="D218" s="172" t="s">
        <v>1547</v>
      </c>
      <c r="E218" s="155" t="s">
        <v>1737</v>
      </c>
      <c r="F218" s="180" t="s">
        <v>1844</v>
      </c>
      <c r="G218" s="177" t="s">
        <v>1739</v>
      </c>
      <c r="H218" s="153">
        <v>90000</v>
      </c>
      <c r="I218" s="382">
        <v>230000</v>
      </c>
      <c r="J218" s="179" t="s">
        <v>1740</v>
      </c>
      <c r="K218" s="296">
        <v>2</v>
      </c>
      <c r="L218" s="189">
        <v>3700</v>
      </c>
      <c r="M218" s="652">
        <v>2006.11</v>
      </c>
      <c r="N218" s="155"/>
      <c r="O218" s="157"/>
      <c r="P218" s="157"/>
    </row>
    <row r="219" spans="1:16" s="113" customFormat="1" ht="32.25" customHeight="1" x14ac:dyDescent="0.4">
      <c r="A219" s="5">
        <v>285</v>
      </c>
      <c r="B219" s="33" t="s">
        <v>588</v>
      </c>
      <c r="C219" s="178" t="s">
        <v>1860</v>
      </c>
      <c r="D219" s="4" t="s">
        <v>423</v>
      </c>
      <c r="E219" s="5" t="s">
        <v>1332</v>
      </c>
      <c r="F219" s="36" t="s">
        <v>1751</v>
      </c>
      <c r="G219" s="34" t="s">
        <v>1387</v>
      </c>
      <c r="H219" s="108">
        <v>185000</v>
      </c>
      <c r="I219" s="382">
        <v>260000</v>
      </c>
      <c r="J219" s="179" t="s">
        <v>1741</v>
      </c>
      <c r="K219" s="379">
        <v>3</v>
      </c>
      <c r="L219" s="82">
        <v>4800</v>
      </c>
      <c r="M219" s="648" t="s">
        <v>1335</v>
      </c>
      <c r="N219" s="5" t="s">
        <v>1399</v>
      </c>
      <c r="O219" s="157"/>
      <c r="P219" s="2"/>
    </row>
    <row r="220" spans="1:16" s="106" customFormat="1" ht="33" customHeight="1" x14ac:dyDescent="0.4">
      <c r="A220" s="155">
        <v>333</v>
      </c>
      <c r="B220" s="152" t="s">
        <v>1197</v>
      </c>
      <c r="C220" s="178" t="s">
        <v>1719</v>
      </c>
      <c r="D220" s="172" t="s">
        <v>11</v>
      </c>
      <c r="E220" s="155" t="s">
        <v>1700</v>
      </c>
      <c r="F220" s="180" t="s">
        <v>1698</v>
      </c>
      <c r="G220" s="177" t="s">
        <v>1699</v>
      </c>
      <c r="H220" s="153">
        <v>80000</v>
      </c>
      <c r="I220" s="382">
        <f>180000+48000</f>
        <v>228000</v>
      </c>
      <c r="J220" s="179" t="s">
        <v>1742</v>
      </c>
      <c r="K220" s="296">
        <v>2</v>
      </c>
      <c r="L220" s="189">
        <v>6030</v>
      </c>
      <c r="M220" s="652" t="s">
        <v>1743</v>
      </c>
      <c r="N220" s="155" t="s">
        <v>1322</v>
      </c>
    </row>
    <row r="221" spans="1:16" ht="33" customHeight="1" x14ac:dyDescent="0.4">
      <c r="A221" s="5">
        <v>337</v>
      </c>
      <c r="B221" s="33" t="s">
        <v>1197</v>
      </c>
      <c r="C221" s="178" t="s">
        <v>1746</v>
      </c>
      <c r="D221" s="172" t="s">
        <v>11</v>
      </c>
      <c r="E221" s="5" t="s">
        <v>105</v>
      </c>
      <c r="F221" s="36" t="s">
        <v>1992</v>
      </c>
      <c r="G221" s="34" t="s">
        <v>1705</v>
      </c>
      <c r="H221" s="108">
        <v>50000</v>
      </c>
      <c r="I221" s="382">
        <v>180000</v>
      </c>
      <c r="J221" s="179" t="s">
        <v>1745</v>
      </c>
      <c r="K221" s="38">
        <v>0.9</v>
      </c>
      <c r="L221" s="82">
        <v>3000</v>
      </c>
      <c r="M221" s="472" t="s">
        <v>1708</v>
      </c>
      <c r="N221" s="155" t="s">
        <v>1322</v>
      </c>
    </row>
    <row r="222" spans="1:16" ht="33" customHeight="1" x14ac:dyDescent="0.4">
      <c r="A222" s="5">
        <v>335</v>
      </c>
      <c r="B222" s="33" t="s">
        <v>1197</v>
      </c>
      <c r="C222" s="178" t="s">
        <v>1755</v>
      </c>
      <c r="D222" s="172" t="s">
        <v>11</v>
      </c>
      <c r="E222" s="5" t="s">
        <v>1619</v>
      </c>
      <c r="F222" s="36" t="s">
        <v>1701</v>
      </c>
      <c r="G222" s="34" t="s">
        <v>1702</v>
      </c>
      <c r="H222" s="108">
        <v>80000</v>
      </c>
      <c r="I222" s="382">
        <v>160000</v>
      </c>
      <c r="J222" s="179" t="s">
        <v>1754</v>
      </c>
      <c r="K222" s="379">
        <v>1.5</v>
      </c>
      <c r="L222" s="82">
        <v>4000</v>
      </c>
      <c r="M222" s="648" t="s">
        <v>1710</v>
      </c>
      <c r="N222" s="5" t="s">
        <v>815</v>
      </c>
    </row>
    <row r="223" spans="1:16" ht="33" customHeight="1" x14ac:dyDescent="0.4">
      <c r="A223" s="5">
        <v>338</v>
      </c>
      <c r="B223" s="33" t="s">
        <v>1197</v>
      </c>
      <c r="C223" s="178" t="s">
        <v>1012</v>
      </c>
      <c r="D223" s="172" t="s">
        <v>11</v>
      </c>
      <c r="E223" s="5" t="s">
        <v>579</v>
      </c>
      <c r="F223" s="36" t="s">
        <v>1704</v>
      </c>
      <c r="G223" s="34" t="s">
        <v>1705</v>
      </c>
      <c r="H223" s="108">
        <v>50000</v>
      </c>
      <c r="I223" s="382">
        <v>185000</v>
      </c>
      <c r="J223" s="179" t="s">
        <v>1770</v>
      </c>
      <c r="K223" s="38">
        <v>1.3</v>
      </c>
      <c r="L223" s="82">
        <v>4000</v>
      </c>
      <c r="M223" s="472" t="s">
        <v>1709</v>
      </c>
      <c r="N223" s="5" t="s">
        <v>815</v>
      </c>
    </row>
    <row r="224" spans="1:16" s="106" customFormat="1" ht="33" customHeight="1" x14ac:dyDescent="0.4">
      <c r="A224" s="155">
        <v>60</v>
      </c>
      <c r="B224" s="152" t="s">
        <v>1767</v>
      </c>
      <c r="C224" s="178" t="s">
        <v>1765</v>
      </c>
      <c r="D224" s="172" t="s">
        <v>240</v>
      </c>
      <c r="E224" s="155" t="s">
        <v>105</v>
      </c>
      <c r="F224" s="180" t="s">
        <v>1764</v>
      </c>
      <c r="G224" s="177">
        <v>41403</v>
      </c>
      <c r="H224" s="153">
        <v>220000</v>
      </c>
      <c r="I224" s="382">
        <f>200000+60000</f>
        <v>260000</v>
      </c>
      <c r="J224" s="179" t="s">
        <v>1769</v>
      </c>
      <c r="K224" s="296">
        <v>2</v>
      </c>
      <c r="L224" s="189">
        <v>3000</v>
      </c>
      <c r="M224" s="652" t="s">
        <v>1768</v>
      </c>
      <c r="N224" s="155"/>
    </row>
    <row r="225" spans="1:16" s="300" customFormat="1" ht="32.25" customHeight="1" x14ac:dyDescent="0.4">
      <c r="A225" s="155">
        <v>238</v>
      </c>
      <c r="B225" s="152" t="s">
        <v>1784</v>
      </c>
      <c r="C225" s="178" t="s">
        <v>1665</v>
      </c>
      <c r="D225" s="172" t="s">
        <v>250</v>
      </c>
      <c r="E225" s="155" t="s">
        <v>1785</v>
      </c>
      <c r="F225" s="180" t="s">
        <v>1786</v>
      </c>
      <c r="G225" s="177" t="s">
        <v>1787</v>
      </c>
      <c r="H225" s="153">
        <v>630000</v>
      </c>
      <c r="I225" s="382">
        <v>450000</v>
      </c>
      <c r="J225" s="179" t="s">
        <v>1791</v>
      </c>
      <c r="K225" s="190">
        <v>4.5</v>
      </c>
      <c r="L225" s="132">
        <v>3300</v>
      </c>
      <c r="M225" s="653" t="s">
        <v>1788</v>
      </c>
      <c r="N225" s="155" t="s">
        <v>1322</v>
      </c>
      <c r="O225" s="157"/>
      <c r="P225" s="157"/>
    </row>
    <row r="226" spans="1:16" s="300" customFormat="1" ht="32.25" customHeight="1" x14ac:dyDescent="0.4">
      <c r="A226" s="155">
        <v>202</v>
      </c>
      <c r="B226" s="152" t="s">
        <v>1771</v>
      </c>
      <c r="C226" s="178" t="s">
        <v>1772</v>
      </c>
      <c r="D226" s="172" t="s">
        <v>11</v>
      </c>
      <c r="E226" s="155" t="s">
        <v>105</v>
      </c>
      <c r="F226" s="180" t="s">
        <v>851</v>
      </c>
      <c r="G226" s="177" t="s">
        <v>723</v>
      </c>
      <c r="H226" s="153">
        <v>80000</v>
      </c>
      <c r="I226" s="567">
        <v>190000</v>
      </c>
      <c r="J226" s="179" t="s">
        <v>1792</v>
      </c>
      <c r="K226" s="190">
        <v>1.5</v>
      </c>
      <c r="L226" s="132">
        <v>4000</v>
      </c>
      <c r="M226" s="653" t="s">
        <v>1774</v>
      </c>
      <c r="N226" s="155"/>
      <c r="O226" s="157"/>
      <c r="P226" s="157"/>
    </row>
    <row r="227" spans="1:16" s="300" customFormat="1" ht="32.25" customHeight="1" x14ac:dyDescent="0.4">
      <c r="A227" s="155">
        <v>339</v>
      </c>
      <c r="B227" s="152" t="s">
        <v>1197</v>
      </c>
      <c r="C227" s="178" t="s">
        <v>1782</v>
      </c>
      <c r="D227" s="172" t="s">
        <v>11</v>
      </c>
      <c r="E227" s="155" t="s">
        <v>105</v>
      </c>
      <c r="F227" s="180" t="s">
        <v>1775</v>
      </c>
      <c r="G227" s="177" t="s">
        <v>1705</v>
      </c>
      <c r="H227" s="153">
        <v>80000</v>
      </c>
      <c r="I227" s="382">
        <v>185000</v>
      </c>
      <c r="J227" s="179" t="s">
        <v>1792</v>
      </c>
      <c r="K227" s="190">
        <v>1.5</v>
      </c>
      <c r="L227" s="189">
        <v>3000</v>
      </c>
      <c r="M227" s="331" t="s">
        <v>1773</v>
      </c>
      <c r="N227" s="5" t="s">
        <v>815</v>
      </c>
      <c r="O227" s="157"/>
      <c r="P227" s="157"/>
    </row>
    <row r="228" spans="1:16" s="106" customFormat="1" ht="33" customHeight="1" x14ac:dyDescent="0.4">
      <c r="A228" s="155">
        <v>351</v>
      </c>
      <c r="B228" s="152" t="s">
        <v>1197</v>
      </c>
      <c r="C228" s="178" t="s">
        <v>1783</v>
      </c>
      <c r="D228" s="172" t="s">
        <v>11</v>
      </c>
      <c r="E228" s="155" t="s">
        <v>105</v>
      </c>
      <c r="F228" s="180" t="s">
        <v>1806</v>
      </c>
      <c r="G228" s="177" t="s">
        <v>1778</v>
      </c>
      <c r="H228" s="153">
        <v>140000</v>
      </c>
      <c r="I228" s="382">
        <v>320000</v>
      </c>
      <c r="J228" s="179" t="s">
        <v>1793</v>
      </c>
      <c r="K228" s="190">
        <v>2.5</v>
      </c>
      <c r="L228" s="313">
        <v>4000</v>
      </c>
      <c r="M228" s="331" t="s">
        <v>1780</v>
      </c>
      <c r="N228" s="5" t="s">
        <v>815</v>
      </c>
    </row>
    <row r="229" spans="1:16" s="106" customFormat="1" ht="33" customHeight="1" x14ac:dyDescent="0.4">
      <c r="A229" s="155">
        <v>342</v>
      </c>
      <c r="B229" s="152" t="s">
        <v>1197</v>
      </c>
      <c r="C229" s="178" t="s">
        <v>1789</v>
      </c>
      <c r="D229" s="172" t="s">
        <v>490</v>
      </c>
      <c r="E229" s="155" t="s">
        <v>579</v>
      </c>
      <c r="F229" s="180" t="s">
        <v>1729</v>
      </c>
      <c r="G229" s="177" t="s">
        <v>1728</v>
      </c>
      <c r="H229" s="153">
        <v>115000</v>
      </c>
      <c r="I229" s="382">
        <v>120000</v>
      </c>
      <c r="J229" s="179" t="s">
        <v>1794</v>
      </c>
      <c r="K229" s="190">
        <v>1.5</v>
      </c>
      <c r="L229" s="313">
        <v>4300</v>
      </c>
      <c r="M229" s="331" t="s">
        <v>1790</v>
      </c>
      <c r="N229" s="5" t="s">
        <v>815</v>
      </c>
    </row>
    <row r="230" spans="1:16" s="194" customFormat="1" ht="33" customHeight="1" x14ac:dyDescent="0.4">
      <c r="A230" s="261">
        <v>235</v>
      </c>
      <c r="B230" s="262" t="s">
        <v>1801</v>
      </c>
      <c r="C230" s="193" t="s">
        <v>1843</v>
      </c>
      <c r="D230" s="241" t="s">
        <v>772</v>
      </c>
      <c r="E230" s="261" t="s">
        <v>105</v>
      </c>
      <c r="F230" s="258" t="s">
        <v>1802</v>
      </c>
      <c r="G230" s="264" t="s">
        <v>1803</v>
      </c>
      <c r="H230" s="265">
        <v>300000</v>
      </c>
      <c r="I230" s="497">
        <v>260000</v>
      </c>
      <c r="J230" s="215" t="s">
        <v>1794</v>
      </c>
      <c r="K230" s="345">
        <v>2.5</v>
      </c>
      <c r="L230" s="389">
        <v>3000</v>
      </c>
      <c r="M230" s="633" t="s">
        <v>1805</v>
      </c>
      <c r="N230" s="261" t="s">
        <v>1804</v>
      </c>
    </row>
    <row r="231" spans="1:16" s="106" customFormat="1" ht="33" customHeight="1" x14ac:dyDescent="0.4">
      <c r="A231" s="155">
        <v>346</v>
      </c>
      <c r="B231" s="152" t="s">
        <v>1197</v>
      </c>
      <c r="C231" s="178" t="s">
        <v>1760</v>
      </c>
      <c r="D231" s="172" t="s">
        <v>200</v>
      </c>
      <c r="E231" s="155" t="s">
        <v>1605</v>
      </c>
      <c r="F231" s="180" t="s">
        <v>1761</v>
      </c>
      <c r="G231" s="177" t="s">
        <v>1762</v>
      </c>
      <c r="H231" s="153">
        <v>120000</v>
      </c>
      <c r="I231" s="382">
        <v>180000</v>
      </c>
      <c r="J231" s="179" t="s">
        <v>1809</v>
      </c>
      <c r="K231" s="296">
        <v>1.5</v>
      </c>
      <c r="L231" s="189">
        <v>4000</v>
      </c>
      <c r="M231" s="652" t="s">
        <v>1763</v>
      </c>
      <c r="N231" s="5" t="s">
        <v>738</v>
      </c>
    </row>
    <row r="232" spans="1:16" s="106" customFormat="1" ht="33" customHeight="1" x14ac:dyDescent="0.4">
      <c r="A232" s="155">
        <v>344</v>
      </c>
      <c r="B232" s="152" t="s">
        <v>1197</v>
      </c>
      <c r="C232" s="178" t="s">
        <v>1808</v>
      </c>
      <c r="D232" s="4" t="s">
        <v>490</v>
      </c>
      <c r="E232" s="5" t="s">
        <v>579</v>
      </c>
      <c r="F232" s="36" t="s">
        <v>1731</v>
      </c>
      <c r="G232" s="34" t="s">
        <v>1732</v>
      </c>
      <c r="H232" s="108">
        <v>60000</v>
      </c>
      <c r="I232" s="382">
        <v>30000</v>
      </c>
      <c r="J232" s="179" t="s">
        <v>1810</v>
      </c>
      <c r="K232" s="38">
        <v>1.5</v>
      </c>
      <c r="L232" s="516">
        <v>4500</v>
      </c>
      <c r="M232" s="472" t="s">
        <v>1811</v>
      </c>
      <c r="N232" s="5"/>
    </row>
    <row r="233" spans="1:16" s="106" customFormat="1" ht="33" customHeight="1" x14ac:dyDescent="0.4">
      <c r="A233" s="155">
        <v>357</v>
      </c>
      <c r="B233" s="152" t="s">
        <v>1197</v>
      </c>
      <c r="C233" s="178" t="s">
        <v>1827</v>
      </c>
      <c r="D233" s="172" t="s">
        <v>11</v>
      </c>
      <c r="E233" s="155" t="s">
        <v>105</v>
      </c>
      <c r="F233" s="180" t="s">
        <v>1822</v>
      </c>
      <c r="G233" s="34" t="s">
        <v>1834</v>
      </c>
      <c r="H233" s="108">
        <v>35000</v>
      </c>
      <c r="I233" s="382">
        <v>100000</v>
      </c>
      <c r="J233" s="179" t="s">
        <v>1826</v>
      </c>
      <c r="K233" s="38">
        <v>0.9</v>
      </c>
      <c r="L233" s="516">
        <v>3500</v>
      </c>
      <c r="M233" s="472">
        <v>2008</v>
      </c>
      <c r="N233" s="5"/>
    </row>
    <row r="234" spans="1:16" s="194" customFormat="1" ht="33" customHeight="1" x14ac:dyDescent="0.4">
      <c r="A234" s="261">
        <v>208</v>
      </c>
      <c r="B234" s="262" t="s">
        <v>1833</v>
      </c>
      <c r="C234" s="193" t="s">
        <v>1861</v>
      </c>
      <c r="D234" s="333" t="s">
        <v>1829</v>
      </c>
      <c r="E234" s="333" t="s">
        <v>1830</v>
      </c>
      <c r="F234" s="551" t="s">
        <v>1831</v>
      </c>
      <c r="G234" s="333" t="s">
        <v>1832</v>
      </c>
      <c r="H234" s="600">
        <v>450000</v>
      </c>
      <c r="I234" s="601">
        <v>360000</v>
      </c>
      <c r="J234" s="215" t="s">
        <v>1826</v>
      </c>
      <c r="K234" s="552">
        <v>2.5</v>
      </c>
      <c r="L234" s="333">
        <v>4000</v>
      </c>
      <c r="M234" s="660" t="s">
        <v>1828</v>
      </c>
      <c r="N234" s="261" t="s">
        <v>738</v>
      </c>
    </row>
    <row r="235" spans="1:16" s="106" customFormat="1" ht="33" customHeight="1" x14ac:dyDescent="0.4">
      <c r="A235" s="155">
        <v>129</v>
      </c>
      <c r="B235" s="152" t="s">
        <v>1857</v>
      </c>
      <c r="C235" s="178" t="s">
        <v>1859</v>
      </c>
      <c r="D235" s="172" t="s">
        <v>1470</v>
      </c>
      <c r="E235" s="155" t="s">
        <v>105</v>
      </c>
      <c r="F235" s="180" t="s">
        <v>1866</v>
      </c>
      <c r="G235" s="173" t="s">
        <v>329</v>
      </c>
      <c r="H235" s="153">
        <v>200000</v>
      </c>
      <c r="I235" s="382">
        <v>230000</v>
      </c>
      <c r="J235" s="179" t="s">
        <v>1856</v>
      </c>
      <c r="K235" s="190">
        <v>1.8</v>
      </c>
      <c r="L235" s="313">
        <v>4500</v>
      </c>
      <c r="M235" s="652" t="s">
        <v>968</v>
      </c>
      <c r="N235" s="5"/>
    </row>
    <row r="236" spans="1:16" s="106" customFormat="1" ht="33" customHeight="1" x14ac:dyDescent="0.4">
      <c r="A236" s="155">
        <v>350</v>
      </c>
      <c r="B236" s="152" t="s">
        <v>1197</v>
      </c>
      <c r="C236" s="178" t="s">
        <v>1864</v>
      </c>
      <c r="D236" s="172" t="s">
        <v>11</v>
      </c>
      <c r="E236" s="155" t="s">
        <v>105</v>
      </c>
      <c r="F236" s="180" t="s">
        <v>1779</v>
      </c>
      <c r="G236" s="177" t="s">
        <v>1778</v>
      </c>
      <c r="H236" s="153">
        <v>70000</v>
      </c>
      <c r="I236" s="382">
        <v>128000</v>
      </c>
      <c r="J236" s="179" t="s">
        <v>1863</v>
      </c>
      <c r="K236" s="190">
        <v>1.5</v>
      </c>
      <c r="L236" s="313">
        <v>3000</v>
      </c>
      <c r="M236" s="331" t="s">
        <v>1781</v>
      </c>
      <c r="N236" s="5" t="s">
        <v>738</v>
      </c>
    </row>
    <row r="237" spans="1:16" s="106" customFormat="1" ht="33" customHeight="1" x14ac:dyDescent="0.4">
      <c r="A237" s="155">
        <v>289</v>
      </c>
      <c r="B237" s="152" t="s">
        <v>1197</v>
      </c>
      <c r="C237" s="178" t="s">
        <v>2148</v>
      </c>
      <c r="D237" s="172" t="s">
        <v>14</v>
      </c>
      <c r="E237" s="5" t="s">
        <v>105</v>
      </c>
      <c r="F237" s="36" t="s">
        <v>1347</v>
      </c>
      <c r="G237" s="34" t="s">
        <v>1348</v>
      </c>
      <c r="H237" s="108">
        <v>120000</v>
      </c>
      <c r="I237" s="382">
        <v>200000</v>
      </c>
      <c r="J237" s="179" t="s">
        <v>1865</v>
      </c>
      <c r="K237" s="379">
        <v>1.8</v>
      </c>
      <c r="L237" s="82">
        <v>3000</v>
      </c>
      <c r="M237" s="648" t="s">
        <v>1350</v>
      </c>
      <c r="N237" s="5" t="s">
        <v>738</v>
      </c>
    </row>
    <row r="238" spans="1:16" s="599" customFormat="1" ht="33" customHeight="1" x14ac:dyDescent="0.4">
      <c r="A238" s="579">
        <v>9</v>
      </c>
      <c r="B238" s="580"/>
      <c r="C238" s="581" t="s">
        <v>1877</v>
      </c>
      <c r="D238" s="595" t="s">
        <v>483</v>
      </c>
      <c r="E238" s="595" t="s">
        <v>235</v>
      </c>
      <c r="F238" s="596" t="s">
        <v>1837</v>
      </c>
      <c r="G238" s="595"/>
      <c r="H238" s="597">
        <v>290000</v>
      </c>
      <c r="I238" s="586">
        <v>300000</v>
      </c>
      <c r="J238" s="587" t="s">
        <v>1878</v>
      </c>
      <c r="K238" s="598">
        <v>2.5</v>
      </c>
      <c r="L238" s="595">
        <v>3000</v>
      </c>
      <c r="M238" s="661" t="s">
        <v>527</v>
      </c>
      <c r="N238" s="579" t="s">
        <v>1876</v>
      </c>
    </row>
    <row r="239" spans="1:16" s="106" customFormat="1" ht="33" customHeight="1" x14ac:dyDescent="0.4">
      <c r="A239" s="155">
        <v>352</v>
      </c>
      <c r="B239" s="152" t="s">
        <v>1712</v>
      </c>
      <c r="C239" s="178" t="s">
        <v>1880</v>
      </c>
      <c r="D239" s="4" t="s">
        <v>200</v>
      </c>
      <c r="E239" s="5" t="s">
        <v>1605</v>
      </c>
      <c r="F239" s="36" t="s">
        <v>1879</v>
      </c>
      <c r="G239" s="34" t="s">
        <v>1881</v>
      </c>
      <c r="H239" s="108">
        <v>140000</v>
      </c>
      <c r="I239" s="382">
        <v>327381</v>
      </c>
      <c r="J239" s="179" t="s">
        <v>1886</v>
      </c>
      <c r="K239" s="38">
        <v>2.5</v>
      </c>
      <c r="L239" s="516">
        <v>4000</v>
      </c>
      <c r="M239" s="472">
        <v>2015.12</v>
      </c>
      <c r="N239" s="5"/>
    </row>
    <row r="240" spans="1:16" s="106" customFormat="1" ht="33" customHeight="1" x14ac:dyDescent="0.4">
      <c r="A240" s="155">
        <v>366</v>
      </c>
      <c r="B240" s="152" t="s">
        <v>1712</v>
      </c>
      <c r="C240" s="178" t="s">
        <v>1891</v>
      </c>
      <c r="D240" s="4" t="s">
        <v>200</v>
      </c>
      <c r="E240" s="5" t="s">
        <v>1605</v>
      </c>
      <c r="F240" s="36" t="s">
        <v>1892</v>
      </c>
      <c r="G240" s="34" t="s">
        <v>1893</v>
      </c>
      <c r="H240" s="108">
        <v>70000</v>
      </c>
      <c r="I240" s="382">
        <v>290000</v>
      </c>
      <c r="J240" s="179" t="s">
        <v>1894</v>
      </c>
      <c r="K240" s="190">
        <v>2</v>
      </c>
      <c r="L240" s="313">
        <v>3000</v>
      </c>
      <c r="M240" s="331" t="s">
        <v>1848</v>
      </c>
      <c r="N240" s="5"/>
    </row>
    <row r="241" spans="1:15" s="106" customFormat="1" ht="33" customHeight="1" x14ac:dyDescent="0.4">
      <c r="A241" s="155">
        <v>213</v>
      </c>
      <c r="B241" s="152" t="s">
        <v>1833</v>
      </c>
      <c r="C241" s="178" t="s">
        <v>1905</v>
      </c>
      <c r="D241" s="4" t="s">
        <v>250</v>
      </c>
      <c r="E241" s="5" t="s">
        <v>2404</v>
      </c>
      <c r="F241" s="36" t="s">
        <v>1901</v>
      </c>
      <c r="G241" s="34" t="s">
        <v>1902</v>
      </c>
      <c r="H241" s="108">
        <v>630000</v>
      </c>
      <c r="I241" s="382">
        <v>360000</v>
      </c>
      <c r="J241" s="179" t="s">
        <v>1904</v>
      </c>
      <c r="K241" s="190">
        <v>2.5</v>
      </c>
      <c r="L241" s="313">
        <v>4750</v>
      </c>
      <c r="M241" s="331" t="s">
        <v>1903</v>
      </c>
      <c r="N241" s="5" t="s">
        <v>1912</v>
      </c>
    </row>
    <row r="242" spans="1:15" s="106" customFormat="1" ht="33" customHeight="1" x14ac:dyDescent="0.4">
      <c r="A242" s="155">
        <v>224</v>
      </c>
      <c r="B242" s="152" t="s">
        <v>1906</v>
      </c>
      <c r="C242" s="178" t="s">
        <v>1905</v>
      </c>
      <c r="D242" s="4" t="s">
        <v>250</v>
      </c>
      <c r="E242" s="5" t="s">
        <v>1605</v>
      </c>
      <c r="F242" s="36" t="s">
        <v>1907</v>
      </c>
      <c r="G242" s="34" t="s">
        <v>844</v>
      </c>
      <c r="H242" s="108">
        <v>280000</v>
      </c>
      <c r="I242" s="382">
        <v>240000</v>
      </c>
      <c r="J242" s="179" t="s">
        <v>1904</v>
      </c>
      <c r="K242" s="190">
        <v>1.5</v>
      </c>
      <c r="L242" s="313">
        <v>3000</v>
      </c>
      <c r="M242" s="331">
        <v>2007.08</v>
      </c>
      <c r="N242" s="5" t="s">
        <v>1912</v>
      </c>
    </row>
    <row r="243" spans="1:15" s="599" customFormat="1" ht="33" customHeight="1" x14ac:dyDescent="0.4">
      <c r="A243" s="579">
        <v>363</v>
      </c>
      <c r="B243" s="580" t="s">
        <v>1712</v>
      </c>
      <c r="C243" s="581" t="s">
        <v>1908</v>
      </c>
      <c r="D243" s="582" t="s">
        <v>200</v>
      </c>
      <c r="E243" s="579" t="s">
        <v>1605</v>
      </c>
      <c r="F243" s="583" t="s">
        <v>1887</v>
      </c>
      <c r="G243" s="584" t="s">
        <v>1888</v>
      </c>
      <c r="H243" s="585">
        <v>100000</v>
      </c>
      <c r="I243" s="586">
        <v>142857</v>
      </c>
      <c r="J243" s="587" t="s">
        <v>1904</v>
      </c>
      <c r="K243" s="588">
        <v>1.5</v>
      </c>
      <c r="L243" s="592">
        <v>3000</v>
      </c>
      <c r="M243" s="657">
        <v>2014.03</v>
      </c>
      <c r="N243" s="579" t="s">
        <v>1910</v>
      </c>
    </row>
    <row r="244" spans="1:15" s="106" customFormat="1" ht="33" customHeight="1" x14ac:dyDescent="0.4">
      <c r="A244" s="155">
        <v>375</v>
      </c>
      <c r="B244" s="152" t="s">
        <v>1712</v>
      </c>
      <c r="C244" s="178" t="s">
        <v>1921</v>
      </c>
      <c r="D244" s="172" t="s">
        <v>200</v>
      </c>
      <c r="E244" s="155" t="s">
        <v>1605</v>
      </c>
      <c r="F244" s="180" t="s">
        <v>1925</v>
      </c>
      <c r="G244" s="177" t="s">
        <v>1922</v>
      </c>
      <c r="H244" s="153">
        <v>80000</v>
      </c>
      <c r="I244" s="382">
        <v>140000</v>
      </c>
      <c r="J244" s="179" t="s">
        <v>1923</v>
      </c>
      <c r="K244" s="190">
        <v>0.9</v>
      </c>
      <c r="L244" s="313">
        <v>3000</v>
      </c>
      <c r="M244" s="331" t="s">
        <v>1924</v>
      </c>
      <c r="N244" s="5" t="s">
        <v>3152</v>
      </c>
    </row>
    <row r="245" spans="1:15" s="106" customFormat="1" ht="33" customHeight="1" x14ac:dyDescent="0.4">
      <c r="A245" s="155">
        <v>242</v>
      </c>
      <c r="B245" s="152" t="s">
        <v>1917</v>
      </c>
      <c r="C245" s="178" t="s">
        <v>1986</v>
      </c>
      <c r="D245" s="172" t="s">
        <v>1547</v>
      </c>
      <c r="E245" s="155" t="s">
        <v>1605</v>
      </c>
      <c r="F245" s="180" t="s">
        <v>1914</v>
      </c>
      <c r="G245" s="177" t="s">
        <v>1915</v>
      </c>
      <c r="H245" s="153">
        <v>470000</v>
      </c>
      <c r="I245" s="382">
        <v>260000</v>
      </c>
      <c r="J245" s="179" t="s">
        <v>2065</v>
      </c>
      <c r="K245" s="190">
        <v>2.5</v>
      </c>
      <c r="L245" s="313">
        <v>4300</v>
      </c>
      <c r="M245" s="331" t="s">
        <v>1916</v>
      </c>
      <c r="N245" s="155"/>
    </row>
    <row r="246" spans="1:15" s="106" customFormat="1" ht="33" customHeight="1" x14ac:dyDescent="0.4">
      <c r="A246" s="155">
        <v>382</v>
      </c>
      <c r="B246" s="152" t="s">
        <v>2012</v>
      </c>
      <c r="C246" s="178" t="s">
        <v>2011</v>
      </c>
      <c r="D246" s="172" t="s">
        <v>1547</v>
      </c>
      <c r="E246" s="155" t="s">
        <v>1785</v>
      </c>
      <c r="F246" s="180" t="s">
        <v>2009</v>
      </c>
      <c r="G246" s="177" t="s">
        <v>2010</v>
      </c>
      <c r="H246" s="153">
        <v>110000</v>
      </c>
      <c r="I246" s="382">
        <v>170000</v>
      </c>
      <c r="J246" s="179" t="s">
        <v>2008</v>
      </c>
      <c r="K246" s="190">
        <v>1.5</v>
      </c>
      <c r="L246" s="313">
        <v>5000</v>
      </c>
      <c r="M246" s="331" t="s">
        <v>2213</v>
      </c>
      <c r="N246" s="155" t="s">
        <v>2214</v>
      </c>
      <c r="O246" s="106" t="s">
        <v>2215</v>
      </c>
    </row>
    <row r="247" spans="1:15" s="678" customFormat="1" ht="33" customHeight="1" x14ac:dyDescent="0.4">
      <c r="A247" s="455">
        <v>364</v>
      </c>
      <c r="B247" s="541" t="s">
        <v>1712</v>
      </c>
      <c r="C247" s="572" t="s">
        <v>1956</v>
      </c>
      <c r="D247" s="513" t="s">
        <v>200</v>
      </c>
      <c r="E247" s="455" t="s">
        <v>1605</v>
      </c>
      <c r="F247" s="542" t="s">
        <v>1968</v>
      </c>
      <c r="G247" s="568" t="s">
        <v>1888</v>
      </c>
      <c r="H247" s="543">
        <v>70000</v>
      </c>
      <c r="I247" s="708">
        <v>150000</v>
      </c>
      <c r="J247" s="573" t="s">
        <v>1957</v>
      </c>
      <c r="K247" s="569">
        <v>0.9</v>
      </c>
      <c r="L247" s="570">
        <v>3000</v>
      </c>
      <c r="M247" s="651" t="s">
        <v>1958</v>
      </c>
      <c r="N247" s="455" t="s">
        <v>1912</v>
      </c>
    </row>
    <row r="248" spans="1:15" s="106" customFormat="1" ht="33" customHeight="1" x14ac:dyDescent="0.4">
      <c r="A248" s="155">
        <v>368</v>
      </c>
      <c r="B248" s="152" t="s">
        <v>1712</v>
      </c>
      <c r="C248" s="178" t="s">
        <v>1959</v>
      </c>
      <c r="D248" s="4" t="s">
        <v>200</v>
      </c>
      <c r="E248" s="5" t="s">
        <v>1605</v>
      </c>
      <c r="F248" s="36" t="s">
        <v>1970</v>
      </c>
      <c r="G248" s="34" t="s">
        <v>1961</v>
      </c>
      <c r="H248" s="108">
        <v>90000</v>
      </c>
      <c r="I248" s="382">
        <v>230000</v>
      </c>
      <c r="J248" s="179" t="s">
        <v>1960</v>
      </c>
      <c r="K248" s="190">
        <v>2</v>
      </c>
      <c r="L248" s="313">
        <v>5800</v>
      </c>
      <c r="M248" s="331" t="s">
        <v>1962</v>
      </c>
      <c r="N248" s="5" t="s">
        <v>1912</v>
      </c>
    </row>
    <row r="249" spans="1:15" s="106" customFormat="1" ht="33" customHeight="1" x14ac:dyDescent="0.4">
      <c r="A249" s="155">
        <v>380</v>
      </c>
      <c r="B249" s="152" t="s">
        <v>1712</v>
      </c>
      <c r="C249" s="178" t="s">
        <v>1966</v>
      </c>
      <c r="D249" s="4" t="s">
        <v>1547</v>
      </c>
      <c r="E249" s="5" t="s">
        <v>1963</v>
      </c>
      <c r="F249" s="36" t="s">
        <v>1964</v>
      </c>
      <c r="G249" s="34" t="s">
        <v>1965</v>
      </c>
      <c r="H249" s="108">
        <v>70000</v>
      </c>
      <c r="I249" s="382"/>
      <c r="J249" s="179" t="s">
        <v>1960</v>
      </c>
      <c r="K249" s="190">
        <v>1.5</v>
      </c>
      <c r="L249" s="313"/>
      <c r="M249" s="331" t="s">
        <v>1967</v>
      </c>
      <c r="N249" s="5" t="s">
        <v>666</v>
      </c>
    </row>
    <row r="250" spans="1:15" s="106" customFormat="1" ht="33" customHeight="1" x14ac:dyDescent="0.4">
      <c r="A250" s="155">
        <v>266</v>
      </c>
      <c r="B250" s="152" t="s">
        <v>1871</v>
      </c>
      <c r="C250" s="178" t="s">
        <v>2073</v>
      </c>
      <c r="D250" s="172" t="s">
        <v>1867</v>
      </c>
      <c r="E250" s="155" t="s">
        <v>1605</v>
      </c>
      <c r="F250" s="180" t="s">
        <v>1868</v>
      </c>
      <c r="G250" s="177" t="s">
        <v>1869</v>
      </c>
      <c r="H250" s="153">
        <v>86000</v>
      </c>
      <c r="I250" s="382">
        <v>138000</v>
      </c>
      <c r="J250" s="179" t="s">
        <v>1969</v>
      </c>
      <c r="K250" s="190">
        <v>1.5</v>
      </c>
      <c r="L250" s="313">
        <v>3000</v>
      </c>
      <c r="M250" s="331" t="s">
        <v>1987</v>
      </c>
      <c r="N250" s="155" t="s">
        <v>1870</v>
      </c>
    </row>
    <row r="251" spans="1:15" s="106" customFormat="1" ht="33" customHeight="1" x14ac:dyDescent="0.4">
      <c r="A251" s="155">
        <v>385</v>
      </c>
      <c r="B251" s="152" t="s">
        <v>1712</v>
      </c>
      <c r="C251" s="178" t="s">
        <v>1984</v>
      </c>
      <c r="D251" s="172" t="s">
        <v>490</v>
      </c>
      <c r="E251" s="155" t="s">
        <v>1491</v>
      </c>
      <c r="F251" s="180" t="s">
        <v>2218</v>
      </c>
      <c r="G251" s="177" t="s">
        <v>1955</v>
      </c>
      <c r="H251" s="153">
        <v>70000</v>
      </c>
      <c r="I251" s="382">
        <v>70000</v>
      </c>
      <c r="J251" s="179" t="s">
        <v>1985</v>
      </c>
      <c r="K251" s="190">
        <v>1.5</v>
      </c>
      <c r="L251" s="313">
        <v>5120</v>
      </c>
      <c r="M251" s="331" t="s">
        <v>1926</v>
      </c>
      <c r="N251" s="155" t="s">
        <v>2211</v>
      </c>
      <c r="O251" s="106" t="s">
        <v>2217</v>
      </c>
    </row>
    <row r="252" spans="1:15" s="106" customFormat="1" ht="33" customHeight="1" x14ac:dyDescent="0.4">
      <c r="A252" s="155">
        <v>387</v>
      </c>
      <c r="B252" s="152" t="s">
        <v>1712</v>
      </c>
      <c r="C252" s="178" t="s">
        <v>1977</v>
      </c>
      <c r="D252" s="4" t="s">
        <v>200</v>
      </c>
      <c r="E252" s="5" t="s">
        <v>201</v>
      </c>
      <c r="F252" s="180" t="s">
        <v>1976</v>
      </c>
      <c r="G252" s="177" t="s">
        <v>1978</v>
      </c>
      <c r="H252" s="153">
        <v>90000</v>
      </c>
      <c r="I252" s="382">
        <v>100000</v>
      </c>
      <c r="J252" s="179" t="s">
        <v>1979</v>
      </c>
      <c r="K252" s="190">
        <v>1.5</v>
      </c>
      <c r="L252" s="313">
        <v>5000</v>
      </c>
      <c r="M252" s="331" t="s">
        <v>2219</v>
      </c>
      <c r="N252" s="155" t="s">
        <v>2211</v>
      </c>
      <c r="O252" s="106" t="s">
        <v>2217</v>
      </c>
    </row>
    <row r="253" spans="1:15" s="106" customFormat="1" ht="33" customHeight="1" x14ac:dyDescent="0.4">
      <c r="A253" s="155">
        <v>299</v>
      </c>
      <c r="B253" s="152" t="s">
        <v>2032</v>
      </c>
      <c r="C253" s="178" t="s">
        <v>2033</v>
      </c>
      <c r="D253" s="172" t="s">
        <v>200</v>
      </c>
      <c r="E253" s="155" t="s">
        <v>1605</v>
      </c>
      <c r="F253" s="180" t="s">
        <v>2029</v>
      </c>
      <c r="G253" s="177" t="s">
        <v>1983</v>
      </c>
      <c r="H253" s="153">
        <v>60000</v>
      </c>
      <c r="I253" s="382">
        <v>130000</v>
      </c>
      <c r="J253" s="179" t="s">
        <v>2030</v>
      </c>
      <c r="K253" s="190">
        <v>0.9</v>
      </c>
      <c r="L253" s="313">
        <v>3000</v>
      </c>
      <c r="M253" s="331" t="s">
        <v>2031</v>
      </c>
      <c r="N253" s="155" t="s">
        <v>3179</v>
      </c>
    </row>
    <row r="254" spans="1:15" s="106" customFormat="1" ht="33" customHeight="1" x14ac:dyDescent="0.4">
      <c r="A254" s="155">
        <v>56</v>
      </c>
      <c r="B254" s="152" t="s">
        <v>111</v>
      </c>
      <c r="C254" s="178" t="s">
        <v>2304</v>
      </c>
      <c r="D254" s="172" t="s">
        <v>200</v>
      </c>
      <c r="E254" s="155" t="s">
        <v>1605</v>
      </c>
      <c r="F254" s="180" t="s">
        <v>1988</v>
      </c>
      <c r="G254" s="34" t="s">
        <v>1989</v>
      </c>
      <c r="H254" s="108">
        <v>200000</v>
      </c>
      <c r="I254" s="382">
        <v>170000</v>
      </c>
      <c r="J254" s="179" t="s">
        <v>1990</v>
      </c>
      <c r="K254" s="190">
        <v>1.8</v>
      </c>
      <c r="L254" s="313">
        <v>4500</v>
      </c>
      <c r="M254" s="331" t="s">
        <v>1991</v>
      </c>
      <c r="N254" s="5" t="s">
        <v>3181</v>
      </c>
    </row>
    <row r="255" spans="1:15" s="106" customFormat="1" ht="33" customHeight="1" x14ac:dyDescent="0.4">
      <c r="A255" s="155">
        <v>348</v>
      </c>
      <c r="B255" s="152" t="s">
        <v>1712</v>
      </c>
      <c r="C255" s="178" t="s">
        <v>1994</v>
      </c>
      <c r="D255" s="4" t="s">
        <v>1547</v>
      </c>
      <c r="E255" s="5" t="s">
        <v>1963</v>
      </c>
      <c r="F255" s="36" t="s">
        <v>1993</v>
      </c>
      <c r="G255" s="34" t="s">
        <v>1996</v>
      </c>
      <c r="H255" s="108">
        <v>70000</v>
      </c>
      <c r="I255" s="382">
        <v>138000</v>
      </c>
      <c r="J255" s="179" t="s">
        <v>1995</v>
      </c>
      <c r="K255" s="190">
        <v>1.5</v>
      </c>
      <c r="L255" s="313">
        <v>4500</v>
      </c>
      <c r="M255" s="331">
        <v>2003.07</v>
      </c>
      <c r="N255" s="5" t="s">
        <v>1322</v>
      </c>
    </row>
    <row r="256" spans="1:15" s="106" customFormat="1" ht="33" customHeight="1" x14ac:dyDescent="0.4">
      <c r="A256" s="155">
        <v>361</v>
      </c>
      <c r="B256" s="152" t="s">
        <v>1712</v>
      </c>
      <c r="C256" s="178" t="s">
        <v>2007</v>
      </c>
      <c r="D256" s="4" t="s">
        <v>200</v>
      </c>
      <c r="E256" s="5" t="s">
        <v>1605</v>
      </c>
      <c r="F256" s="36" t="s">
        <v>1998</v>
      </c>
      <c r="G256" s="34" t="s">
        <v>1888</v>
      </c>
      <c r="H256" s="108">
        <v>100000</v>
      </c>
      <c r="I256" s="382">
        <v>170000</v>
      </c>
      <c r="J256" s="179" t="s">
        <v>2000</v>
      </c>
      <c r="K256" s="190">
        <v>2</v>
      </c>
      <c r="L256" s="313">
        <v>4000</v>
      </c>
      <c r="M256" s="331" t="s">
        <v>1999</v>
      </c>
      <c r="N256" s="5" t="s">
        <v>666</v>
      </c>
    </row>
    <row r="257" spans="1:15" s="106" customFormat="1" ht="33" customHeight="1" x14ac:dyDescent="0.4">
      <c r="A257" s="155">
        <v>384</v>
      </c>
      <c r="B257" s="152" t="s">
        <v>1712</v>
      </c>
      <c r="C257" s="178" t="s">
        <v>1997</v>
      </c>
      <c r="D257" s="4" t="s">
        <v>200</v>
      </c>
      <c r="E257" s="5" t="s">
        <v>1605</v>
      </c>
      <c r="F257" s="36" t="s">
        <v>2001</v>
      </c>
      <c r="G257" s="34" t="s">
        <v>2002</v>
      </c>
      <c r="H257" s="108">
        <v>40000</v>
      </c>
      <c r="I257" s="382">
        <v>170000</v>
      </c>
      <c r="J257" s="179" t="s">
        <v>2000</v>
      </c>
      <c r="K257" s="38">
        <v>1.5</v>
      </c>
      <c r="L257" s="516">
        <v>3000</v>
      </c>
      <c r="M257" s="472" t="s">
        <v>2003</v>
      </c>
      <c r="N257" s="5" t="s">
        <v>666</v>
      </c>
    </row>
    <row r="258" spans="1:15" s="106" customFormat="1" ht="33" customHeight="1" x14ac:dyDescent="0.4">
      <c r="A258" s="155">
        <v>374</v>
      </c>
      <c r="B258" s="152" t="s">
        <v>1712</v>
      </c>
      <c r="C258" s="178" t="s">
        <v>2005</v>
      </c>
      <c r="D258" s="4" t="s">
        <v>1547</v>
      </c>
      <c r="E258" s="5" t="s">
        <v>201</v>
      </c>
      <c r="F258" s="36" t="s">
        <v>2004</v>
      </c>
      <c r="G258" s="34" t="s">
        <v>1922</v>
      </c>
      <c r="H258" s="108">
        <v>50000</v>
      </c>
      <c r="I258" s="382">
        <v>128000</v>
      </c>
      <c r="J258" s="179" t="s">
        <v>2000</v>
      </c>
      <c r="K258" s="38">
        <v>1</v>
      </c>
      <c r="L258" s="516">
        <v>3000</v>
      </c>
      <c r="M258" s="472" t="s">
        <v>2006</v>
      </c>
      <c r="N258" s="5" t="s">
        <v>2223</v>
      </c>
    </row>
    <row r="259" spans="1:15" s="106" customFormat="1" ht="33" customHeight="1" x14ac:dyDescent="0.4">
      <c r="A259" s="155">
        <v>180</v>
      </c>
      <c r="B259" s="152" t="s">
        <v>2049</v>
      </c>
      <c r="C259" s="178" t="s">
        <v>2038</v>
      </c>
      <c r="D259" s="4" t="s">
        <v>2040</v>
      </c>
      <c r="E259" s="5" t="s">
        <v>2041</v>
      </c>
      <c r="F259" s="36" t="s">
        <v>2048</v>
      </c>
      <c r="G259" s="34" t="s">
        <v>2042</v>
      </c>
      <c r="H259" s="108">
        <v>60000</v>
      </c>
      <c r="I259" s="382">
        <v>100000</v>
      </c>
      <c r="J259" s="179" t="s">
        <v>2039</v>
      </c>
      <c r="K259" s="38">
        <v>4</v>
      </c>
      <c r="L259" s="516">
        <v>3000</v>
      </c>
      <c r="M259" s="472"/>
      <c r="N259" s="5" t="s">
        <v>2043</v>
      </c>
    </row>
    <row r="260" spans="1:15" s="106" customFormat="1" ht="33" customHeight="1" x14ac:dyDescent="0.4">
      <c r="A260" s="155">
        <v>245</v>
      </c>
      <c r="B260" s="152" t="s">
        <v>2013</v>
      </c>
      <c r="C260" s="178" t="s">
        <v>2019</v>
      </c>
      <c r="D260" s="4" t="s">
        <v>1547</v>
      </c>
      <c r="E260" s="5" t="s">
        <v>1605</v>
      </c>
      <c r="F260" s="36" t="s">
        <v>2014</v>
      </c>
      <c r="G260" s="34" t="s">
        <v>2015</v>
      </c>
      <c r="H260" s="108">
        <v>440000</v>
      </c>
      <c r="I260" s="382">
        <v>370000</v>
      </c>
      <c r="J260" s="179" t="s">
        <v>2020</v>
      </c>
      <c r="K260" s="38">
        <v>2.5</v>
      </c>
      <c r="L260" s="516">
        <v>4000</v>
      </c>
      <c r="M260" s="472" t="s">
        <v>2016</v>
      </c>
      <c r="N260" s="5" t="s">
        <v>2021</v>
      </c>
    </row>
    <row r="261" spans="1:15" s="106" customFormat="1" ht="33" customHeight="1" x14ac:dyDescent="0.4">
      <c r="A261" s="155">
        <v>362</v>
      </c>
      <c r="B261" s="152" t="s">
        <v>1712</v>
      </c>
      <c r="C261" s="178" t="s">
        <v>2137</v>
      </c>
      <c r="D261" s="4" t="s">
        <v>200</v>
      </c>
      <c r="E261" s="5" t="s">
        <v>1605</v>
      </c>
      <c r="F261" s="36" t="s">
        <v>2017</v>
      </c>
      <c r="G261" s="34" t="s">
        <v>1888</v>
      </c>
      <c r="H261" s="108">
        <v>110000</v>
      </c>
      <c r="I261" s="382">
        <v>228571</v>
      </c>
      <c r="J261" s="179" t="s">
        <v>2020</v>
      </c>
      <c r="K261" s="38">
        <v>2.5</v>
      </c>
      <c r="L261" s="516">
        <v>3000</v>
      </c>
      <c r="M261" s="472" t="s">
        <v>2018</v>
      </c>
      <c r="N261" s="5" t="s">
        <v>666</v>
      </c>
    </row>
    <row r="262" spans="1:15" s="106" customFormat="1" ht="33" customHeight="1" x14ac:dyDescent="0.4">
      <c r="A262" s="155">
        <v>277</v>
      </c>
      <c r="B262" s="152" t="s">
        <v>1712</v>
      </c>
      <c r="C262" s="178" t="s">
        <v>2064</v>
      </c>
      <c r="D262" s="4" t="s">
        <v>200</v>
      </c>
      <c r="E262" s="5" t="s">
        <v>1605</v>
      </c>
      <c r="F262" s="36" t="s">
        <v>2022</v>
      </c>
      <c r="G262" s="34" t="s">
        <v>2023</v>
      </c>
      <c r="H262" s="108">
        <v>100000</v>
      </c>
      <c r="I262" s="382">
        <v>170000</v>
      </c>
      <c r="J262" s="179" t="s">
        <v>2025</v>
      </c>
      <c r="K262" s="38">
        <v>1.5</v>
      </c>
      <c r="L262" s="516">
        <v>5000</v>
      </c>
      <c r="M262" s="472" t="s">
        <v>2024</v>
      </c>
      <c r="N262" s="5" t="s">
        <v>666</v>
      </c>
    </row>
    <row r="263" spans="1:15" s="106" customFormat="1" ht="33" customHeight="1" x14ac:dyDescent="0.4">
      <c r="A263" s="155">
        <v>393</v>
      </c>
      <c r="B263" s="152" t="s">
        <v>1712</v>
      </c>
      <c r="C263" s="178" t="s">
        <v>2203</v>
      </c>
      <c r="D263" s="4" t="s">
        <v>2027</v>
      </c>
      <c r="E263" s="5" t="s">
        <v>201</v>
      </c>
      <c r="F263" s="36" t="s">
        <v>2198</v>
      </c>
      <c r="G263" s="34" t="s">
        <v>2028</v>
      </c>
      <c r="H263" s="108">
        <v>30000</v>
      </c>
      <c r="I263" s="382">
        <v>74286</v>
      </c>
      <c r="J263" s="179" t="s">
        <v>2026</v>
      </c>
      <c r="K263" s="38">
        <v>1.5</v>
      </c>
      <c r="L263" s="516">
        <v>200</v>
      </c>
      <c r="M263" s="472" t="s">
        <v>2204</v>
      </c>
      <c r="N263" s="5" t="s">
        <v>2223</v>
      </c>
      <c r="O263" s="106" t="s">
        <v>2217</v>
      </c>
    </row>
    <row r="264" spans="1:15" s="106" customFormat="1" ht="33" customHeight="1" x14ac:dyDescent="0.4">
      <c r="A264" s="155">
        <v>388</v>
      </c>
      <c r="B264" s="152" t="s">
        <v>2047</v>
      </c>
      <c r="C264" s="178" t="s">
        <v>2038</v>
      </c>
      <c r="D264" s="4" t="s">
        <v>250</v>
      </c>
      <c r="E264" s="5" t="s">
        <v>1605</v>
      </c>
      <c r="F264" s="36" t="s">
        <v>2044</v>
      </c>
      <c r="G264" s="34" t="s">
        <v>2045</v>
      </c>
      <c r="H264" s="108">
        <v>70000</v>
      </c>
      <c r="I264" s="382">
        <v>200000</v>
      </c>
      <c r="J264" s="179" t="s">
        <v>2037</v>
      </c>
      <c r="K264" s="38">
        <v>2.5</v>
      </c>
      <c r="L264" s="516">
        <v>3000</v>
      </c>
      <c r="M264" s="472" t="s">
        <v>2046</v>
      </c>
      <c r="N264" s="5" t="s">
        <v>3179</v>
      </c>
    </row>
    <row r="265" spans="1:15" s="106" customFormat="1" ht="33" customHeight="1" x14ac:dyDescent="0.4">
      <c r="A265" s="155">
        <v>219</v>
      </c>
      <c r="B265" s="152" t="s">
        <v>1833</v>
      </c>
      <c r="C265" s="178" t="s">
        <v>2036</v>
      </c>
      <c r="D265" s="4" t="s">
        <v>1547</v>
      </c>
      <c r="E265" s="5" t="s">
        <v>343</v>
      </c>
      <c r="F265" s="36" t="s">
        <v>2034</v>
      </c>
      <c r="G265" s="34" t="s">
        <v>884</v>
      </c>
      <c r="H265" s="108">
        <v>110000</v>
      </c>
      <c r="I265" s="382">
        <v>95000</v>
      </c>
      <c r="J265" s="179" t="s">
        <v>2035</v>
      </c>
      <c r="K265" s="38">
        <v>0.9</v>
      </c>
      <c r="L265" s="516">
        <v>3000</v>
      </c>
      <c r="M265" s="472">
        <v>2002.05</v>
      </c>
      <c r="N265" s="5" t="s">
        <v>1322</v>
      </c>
    </row>
    <row r="266" spans="1:15" s="106" customFormat="1" ht="33" customHeight="1" x14ac:dyDescent="0.4">
      <c r="A266" s="155">
        <v>252</v>
      </c>
      <c r="B266" s="152" t="s">
        <v>2057</v>
      </c>
      <c r="C266" s="178" t="s">
        <v>2056</v>
      </c>
      <c r="D266" s="4" t="s">
        <v>200</v>
      </c>
      <c r="E266" s="5" t="s">
        <v>1605</v>
      </c>
      <c r="F266" s="36" t="s">
        <v>2063</v>
      </c>
      <c r="G266" s="34" t="s">
        <v>2058</v>
      </c>
      <c r="H266" s="108">
        <v>160000</v>
      </c>
      <c r="I266" s="382">
        <v>130000</v>
      </c>
      <c r="J266" s="179" t="s">
        <v>2059</v>
      </c>
      <c r="K266" s="38">
        <v>1.3</v>
      </c>
      <c r="L266" s="516">
        <v>3000</v>
      </c>
      <c r="M266" s="472" t="s">
        <v>2071</v>
      </c>
      <c r="N266" s="5" t="s">
        <v>3180</v>
      </c>
    </row>
    <row r="267" spans="1:15" s="106" customFormat="1" ht="33" customHeight="1" x14ac:dyDescent="0.4">
      <c r="A267" s="155">
        <v>347</v>
      </c>
      <c r="B267" s="152" t="s">
        <v>1712</v>
      </c>
      <c r="C267" s="178" t="s">
        <v>2054</v>
      </c>
      <c r="D267" s="4" t="s">
        <v>200</v>
      </c>
      <c r="E267" s="5" t="s">
        <v>1605</v>
      </c>
      <c r="F267" s="36" t="s">
        <v>2055</v>
      </c>
      <c r="G267" s="34" t="s">
        <v>2061</v>
      </c>
      <c r="H267" s="108">
        <v>50000</v>
      </c>
      <c r="I267" s="382">
        <v>150000</v>
      </c>
      <c r="J267" s="179" t="s">
        <v>2060</v>
      </c>
      <c r="K267" s="38">
        <v>1.5</v>
      </c>
      <c r="L267" s="516">
        <v>3000</v>
      </c>
      <c r="M267" s="472" t="s">
        <v>2062</v>
      </c>
      <c r="N267" s="5" t="s">
        <v>3180</v>
      </c>
    </row>
    <row r="268" spans="1:15" s="106" customFormat="1" ht="33" customHeight="1" x14ac:dyDescent="0.4">
      <c r="A268" s="155">
        <v>211</v>
      </c>
      <c r="B268" s="152" t="s">
        <v>1784</v>
      </c>
      <c r="C268" s="178" t="s">
        <v>2078</v>
      </c>
      <c r="D268" s="4" t="s">
        <v>1867</v>
      </c>
      <c r="E268" s="5" t="s">
        <v>1605</v>
      </c>
      <c r="F268" s="36" t="s">
        <v>832</v>
      </c>
      <c r="G268" s="34" t="s">
        <v>2077</v>
      </c>
      <c r="H268" s="108">
        <v>200000</v>
      </c>
      <c r="I268" s="382">
        <v>500000</v>
      </c>
      <c r="J268" s="179" t="s">
        <v>2079</v>
      </c>
      <c r="K268" s="38">
        <v>2</v>
      </c>
      <c r="L268" s="516">
        <v>4300</v>
      </c>
      <c r="M268" s="472" t="s">
        <v>2085</v>
      </c>
      <c r="N268" s="5" t="s">
        <v>3180</v>
      </c>
    </row>
    <row r="269" spans="1:15" s="106" customFormat="1" ht="33" customHeight="1" x14ac:dyDescent="0.4">
      <c r="A269" s="155">
        <v>343</v>
      </c>
      <c r="B269" s="152" t="s">
        <v>1712</v>
      </c>
      <c r="C269" s="178" t="s">
        <v>2083</v>
      </c>
      <c r="D269" s="4" t="s">
        <v>200</v>
      </c>
      <c r="E269" s="5" t="s">
        <v>1605</v>
      </c>
      <c r="F269" s="36" t="s">
        <v>2081</v>
      </c>
      <c r="G269" s="34" t="s">
        <v>2082</v>
      </c>
      <c r="H269" s="108">
        <v>115000</v>
      </c>
      <c r="I269" s="382">
        <v>160000</v>
      </c>
      <c r="J269" s="179" t="s">
        <v>2084</v>
      </c>
      <c r="K269" s="38">
        <v>1.5</v>
      </c>
      <c r="L269" s="516">
        <v>4300</v>
      </c>
      <c r="M269" s="472" t="s">
        <v>2086</v>
      </c>
      <c r="N269" s="5" t="s">
        <v>1322</v>
      </c>
    </row>
    <row r="270" spans="1:15" s="106" customFormat="1" ht="33" customHeight="1" x14ac:dyDescent="0.4">
      <c r="A270" s="155">
        <v>395</v>
      </c>
      <c r="B270" s="152" t="s">
        <v>1712</v>
      </c>
      <c r="C270" s="178" t="s">
        <v>2090</v>
      </c>
      <c r="D270" s="4" t="s">
        <v>200</v>
      </c>
      <c r="E270" s="5" t="s">
        <v>1605</v>
      </c>
      <c r="F270" s="36" t="s">
        <v>2080</v>
      </c>
      <c r="G270" s="34" t="s">
        <v>2087</v>
      </c>
      <c r="H270" s="108">
        <v>150000</v>
      </c>
      <c r="I270" s="382">
        <v>260000</v>
      </c>
      <c r="J270" s="179" t="s">
        <v>2089</v>
      </c>
      <c r="K270" s="38">
        <v>2</v>
      </c>
      <c r="L270" s="516">
        <v>4000</v>
      </c>
      <c r="M270" s="472" t="s">
        <v>2088</v>
      </c>
      <c r="N270" s="5" t="s">
        <v>1322</v>
      </c>
    </row>
    <row r="271" spans="1:15" s="106" customFormat="1" ht="33" customHeight="1" x14ac:dyDescent="0.4">
      <c r="A271" s="155">
        <v>386</v>
      </c>
      <c r="B271" s="152" t="s">
        <v>1712</v>
      </c>
      <c r="C271" s="178" t="s">
        <v>2092</v>
      </c>
      <c r="D271" s="4" t="s">
        <v>200</v>
      </c>
      <c r="E271" s="5" t="s">
        <v>1605</v>
      </c>
      <c r="F271" s="36" t="s">
        <v>2091</v>
      </c>
      <c r="G271" s="34" t="s">
        <v>1978</v>
      </c>
      <c r="H271" s="108">
        <v>60000</v>
      </c>
      <c r="I271" s="382">
        <v>150000</v>
      </c>
      <c r="J271" s="179" t="s">
        <v>2089</v>
      </c>
      <c r="K271" s="38">
        <v>1.5</v>
      </c>
      <c r="L271" s="516">
        <v>3000</v>
      </c>
      <c r="M271" s="472" t="s">
        <v>2093</v>
      </c>
      <c r="N271" s="5" t="s">
        <v>1322</v>
      </c>
    </row>
    <row r="272" spans="1:15" s="106" customFormat="1" ht="33" customHeight="1" x14ac:dyDescent="0.4">
      <c r="A272" s="155">
        <v>226</v>
      </c>
      <c r="B272" s="152" t="s">
        <v>2430</v>
      </c>
      <c r="C272" s="178" t="s">
        <v>2094</v>
      </c>
      <c r="D272" s="172" t="s">
        <v>1547</v>
      </c>
      <c r="E272" s="155" t="s">
        <v>201</v>
      </c>
      <c r="F272" s="180" t="s">
        <v>2442</v>
      </c>
      <c r="G272" s="177" t="s">
        <v>2431</v>
      </c>
      <c r="H272" s="153">
        <v>70000</v>
      </c>
      <c r="I272" s="709">
        <v>100000</v>
      </c>
      <c r="J272" s="179" t="s">
        <v>2432</v>
      </c>
      <c r="K272" s="190">
        <v>0.5</v>
      </c>
      <c r="L272" s="313">
        <v>2500</v>
      </c>
      <c r="M272" s="331" t="s">
        <v>2097</v>
      </c>
      <c r="N272" s="155" t="s">
        <v>1322</v>
      </c>
    </row>
    <row r="273" spans="1:15" s="106" customFormat="1" ht="33" customHeight="1" x14ac:dyDescent="0.4">
      <c r="A273" s="155">
        <v>191</v>
      </c>
      <c r="B273" s="152" t="s">
        <v>353</v>
      </c>
      <c r="C273" s="178" t="s">
        <v>2102</v>
      </c>
      <c r="D273" s="4" t="s">
        <v>250</v>
      </c>
      <c r="E273" s="5" t="s">
        <v>1605</v>
      </c>
      <c r="F273" s="36" t="s">
        <v>2098</v>
      </c>
      <c r="G273" s="34" t="s">
        <v>2099</v>
      </c>
      <c r="H273" s="108">
        <v>335000</v>
      </c>
      <c r="I273" s="382">
        <v>230000</v>
      </c>
      <c r="J273" s="179" t="s">
        <v>2101</v>
      </c>
      <c r="K273" s="38">
        <v>3</v>
      </c>
      <c r="L273" s="516">
        <v>3000</v>
      </c>
      <c r="M273" s="472" t="s">
        <v>2100</v>
      </c>
      <c r="N273" s="5" t="s">
        <v>1322</v>
      </c>
    </row>
    <row r="274" spans="1:15" s="106" customFormat="1" ht="33" customHeight="1" x14ac:dyDescent="0.4">
      <c r="A274" s="155">
        <v>370</v>
      </c>
      <c r="B274" s="152" t="s">
        <v>1712</v>
      </c>
      <c r="C274" s="178" t="s">
        <v>2105</v>
      </c>
      <c r="D274" s="4" t="s">
        <v>200</v>
      </c>
      <c r="E274" s="5" t="s">
        <v>1605</v>
      </c>
      <c r="F274" s="36" t="s">
        <v>2103</v>
      </c>
      <c r="G274" s="34" t="s">
        <v>2104</v>
      </c>
      <c r="H274" s="108">
        <v>80000</v>
      </c>
      <c r="I274" s="382">
        <v>150000</v>
      </c>
      <c r="J274" s="179" t="s">
        <v>2107</v>
      </c>
      <c r="K274" s="38">
        <v>1.5</v>
      </c>
      <c r="L274" s="516">
        <v>3000</v>
      </c>
      <c r="M274" s="472" t="s">
        <v>2106</v>
      </c>
      <c r="N274" s="5" t="s">
        <v>1322</v>
      </c>
    </row>
    <row r="275" spans="1:15" s="674" customFormat="1" ht="33" customHeight="1" x14ac:dyDescent="0.4">
      <c r="A275" s="139">
        <v>345</v>
      </c>
      <c r="B275" s="666" t="s">
        <v>1712</v>
      </c>
      <c r="C275" s="667" t="s">
        <v>2361</v>
      </c>
      <c r="D275" s="138" t="s">
        <v>1547</v>
      </c>
      <c r="E275" s="139" t="s">
        <v>1605</v>
      </c>
      <c r="F275" s="143" t="s">
        <v>2384</v>
      </c>
      <c r="G275" s="140" t="s">
        <v>2109</v>
      </c>
      <c r="H275" s="668">
        <v>120000</v>
      </c>
      <c r="I275" s="669">
        <v>280000</v>
      </c>
      <c r="J275" s="670" t="s">
        <v>2362</v>
      </c>
      <c r="K275" s="671">
        <v>1.5</v>
      </c>
      <c r="L275" s="672">
        <v>3000</v>
      </c>
      <c r="M275" s="673" t="s">
        <v>2363</v>
      </c>
      <c r="N275" s="139" t="s">
        <v>1322</v>
      </c>
    </row>
    <row r="276" spans="1:15" s="106" customFormat="1" ht="33" customHeight="1" x14ac:dyDescent="0.4">
      <c r="A276" s="155">
        <v>204</v>
      </c>
      <c r="B276" s="152" t="s">
        <v>2115</v>
      </c>
      <c r="C276" s="178" t="s">
        <v>2114</v>
      </c>
      <c r="D276" s="4" t="s">
        <v>250</v>
      </c>
      <c r="E276" s="5" t="s">
        <v>2112</v>
      </c>
      <c r="F276" s="36" t="s">
        <v>2113</v>
      </c>
      <c r="G276" s="34" t="s">
        <v>2116</v>
      </c>
      <c r="H276" s="108">
        <v>100000</v>
      </c>
      <c r="I276" s="536" t="s">
        <v>2120</v>
      </c>
      <c r="J276" s="179" t="s">
        <v>2117</v>
      </c>
      <c r="K276" s="38">
        <v>3.5</v>
      </c>
      <c r="L276" s="516">
        <v>4000</v>
      </c>
      <c r="M276" s="472" t="s">
        <v>2118</v>
      </c>
      <c r="N276" s="5" t="s">
        <v>2119</v>
      </c>
    </row>
    <row r="277" spans="1:15" s="106" customFormat="1" ht="33" customHeight="1" x14ac:dyDescent="0.4">
      <c r="A277" s="155">
        <v>248</v>
      </c>
      <c r="B277" s="152" t="s">
        <v>1833</v>
      </c>
      <c r="C277" s="178" t="s">
        <v>2448</v>
      </c>
      <c r="D277" s="4" t="s">
        <v>1547</v>
      </c>
      <c r="E277" s="5" t="s">
        <v>1605</v>
      </c>
      <c r="F277" s="36" t="s">
        <v>2574</v>
      </c>
      <c r="G277" s="34" t="s">
        <v>2121</v>
      </c>
      <c r="H277" s="108">
        <v>510000</v>
      </c>
      <c r="I277" s="382">
        <v>345000</v>
      </c>
      <c r="J277" s="179" t="s">
        <v>2124</v>
      </c>
      <c r="K277" s="38">
        <v>2.5</v>
      </c>
      <c r="L277" s="516">
        <v>3000</v>
      </c>
      <c r="M277" s="472" t="s">
        <v>2122</v>
      </c>
      <c r="N277" s="5" t="s">
        <v>2123</v>
      </c>
    </row>
    <row r="278" spans="1:15" s="106" customFormat="1" ht="33" customHeight="1" x14ac:dyDescent="0.4">
      <c r="A278" s="155">
        <v>123</v>
      </c>
      <c r="B278" s="152" t="s">
        <v>2125</v>
      </c>
      <c r="C278" s="178" t="s">
        <v>2078</v>
      </c>
      <c r="D278" s="4" t="s">
        <v>1547</v>
      </c>
      <c r="E278" s="5" t="s">
        <v>1605</v>
      </c>
      <c r="F278" s="36" t="s">
        <v>2129</v>
      </c>
      <c r="G278" s="34" t="s">
        <v>2126</v>
      </c>
      <c r="H278" s="108">
        <v>370000</v>
      </c>
      <c r="I278" s="382">
        <v>250000</v>
      </c>
      <c r="J278" s="179" t="s">
        <v>2124</v>
      </c>
      <c r="K278" s="38">
        <v>2.5</v>
      </c>
      <c r="L278" s="516">
        <v>4000</v>
      </c>
      <c r="M278" s="472">
        <v>2001</v>
      </c>
      <c r="N278" s="5" t="s">
        <v>2123</v>
      </c>
      <c r="O278" s="106" t="s">
        <v>2131</v>
      </c>
    </row>
    <row r="279" spans="1:15" s="106" customFormat="1" ht="33" customHeight="1" x14ac:dyDescent="0.4">
      <c r="A279" s="155">
        <v>403</v>
      </c>
      <c r="B279" s="559" t="s">
        <v>3082</v>
      </c>
      <c r="C279" s="178" t="s">
        <v>2078</v>
      </c>
      <c r="D279" s="4" t="s">
        <v>250</v>
      </c>
      <c r="E279" s="5" t="s">
        <v>1605</v>
      </c>
      <c r="F279" s="36" t="s">
        <v>2128</v>
      </c>
      <c r="G279" s="34" t="s">
        <v>2110</v>
      </c>
      <c r="H279" s="108">
        <v>140000</v>
      </c>
      <c r="I279" s="382">
        <v>250000</v>
      </c>
      <c r="J279" s="179" t="s">
        <v>2124</v>
      </c>
      <c r="K279" s="38">
        <v>1.8</v>
      </c>
      <c r="L279" s="516">
        <v>3000</v>
      </c>
      <c r="M279" s="472">
        <v>2004.09</v>
      </c>
      <c r="N279" s="5" t="s">
        <v>2127</v>
      </c>
    </row>
    <row r="280" spans="1:15" s="106" customFormat="1" ht="33" customHeight="1" x14ac:dyDescent="0.4">
      <c r="A280" s="155">
        <v>389</v>
      </c>
      <c r="B280" s="559" t="s">
        <v>1712</v>
      </c>
      <c r="C280" s="178" t="s">
        <v>2140</v>
      </c>
      <c r="D280" s="4" t="s">
        <v>200</v>
      </c>
      <c r="E280" s="5" t="s">
        <v>1605</v>
      </c>
      <c r="F280" s="36" t="s">
        <v>2145</v>
      </c>
      <c r="G280" s="34" t="s">
        <v>2141</v>
      </c>
      <c r="H280" s="108">
        <v>50000</v>
      </c>
      <c r="I280" s="536" t="s">
        <v>2143</v>
      </c>
      <c r="J280" s="179" t="s">
        <v>2142</v>
      </c>
      <c r="K280" s="38">
        <v>1.5</v>
      </c>
      <c r="L280" s="516">
        <v>4000</v>
      </c>
      <c r="M280" s="472" t="s">
        <v>2220</v>
      </c>
      <c r="N280" s="5" t="s">
        <v>2214</v>
      </c>
      <c r="O280" s="106" t="s">
        <v>2217</v>
      </c>
    </row>
    <row r="281" spans="1:15" s="106" customFormat="1" ht="33" customHeight="1" x14ac:dyDescent="0.4">
      <c r="A281" s="155">
        <v>398</v>
      </c>
      <c r="B281" s="152" t="s">
        <v>1712</v>
      </c>
      <c r="C281" s="178" t="s">
        <v>2135</v>
      </c>
      <c r="D281" s="4" t="s">
        <v>200</v>
      </c>
      <c r="E281" s="5" t="s">
        <v>201</v>
      </c>
      <c r="F281" s="36" t="s">
        <v>2197</v>
      </c>
      <c r="G281" s="34" t="s">
        <v>2134</v>
      </c>
      <c r="H281" s="108">
        <v>100000</v>
      </c>
      <c r="I281" s="382">
        <v>280000</v>
      </c>
      <c r="J281" s="179" t="s">
        <v>2144</v>
      </c>
      <c r="K281" s="38">
        <v>1.5</v>
      </c>
      <c r="L281" s="516">
        <v>5000</v>
      </c>
      <c r="M281" s="472" t="s">
        <v>2136</v>
      </c>
      <c r="N281" s="5" t="s">
        <v>2146</v>
      </c>
    </row>
    <row r="282" spans="1:15" s="106" customFormat="1" ht="33" customHeight="1" x14ac:dyDescent="0.4">
      <c r="A282" s="155">
        <v>397</v>
      </c>
      <c r="B282" s="152" t="s">
        <v>1712</v>
      </c>
      <c r="C282" s="178" t="s">
        <v>2258</v>
      </c>
      <c r="D282" s="172" t="s">
        <v>200</v>
      </c>
      <c r="E282" s="155" t="s">
        <v>201</v>
      </c>
      <c r="F282" s="180" t="s">
        <v>2256</v>
      </c>
      <c r="G282" s="177" t="s">
        <v>2257</v>
      </c>
      <c r="H282" s="153">
        <v>110000</v>
      </c>
      <c r="I282" s="382">
        <v>170000</v>
      </c>
      <c r="J282" s="179" t="s">
        <v>2255</v>
      </c>
      <c r="K282" s="190">
        <v>1.5</v>
      </c>
      <c r="L282" s="313">
        <v>5000</v>
      </c>
      <c r="M282" s="331" t="s">
        <v>2259</v>
      </c>
      <c r="N282" s="5" t="s">
        <v>2146</v>
      </c>
      <c r="O282" s="106" t="s">
        <v>2217</v>
      </c>
    </row>
    <row r="283" spans="1:15" s="106" customFormat="1" ht="33" customHeight="1" x14ac:dyDescent="0.4">
      <c r="A283" s="155">
        <v>221</v>
      </c>
      <c r="B283" s="152" t="s">
        <v>1784</v>
      </c>
      <c r="C283" s="178" t="s">
        <v>2156</v>
      </c>
      <c r="D283" s="4" t="s">
        <v>250</v>
      </c>
      <c r="E283" s="5" t="s">
        <v>1605</v>
      </c>
      <c r="F283" s="36" t="s">
        <v>2153</v>
      </c>
      <c r="G283" s="34" t="s">
        <v>2154</v>
      </c>
      <c r="H283" s="108">
        <v>465000</v>
      </c>
      <c r="I283" s="382">
        <v>380000</v>
      </c>
      <c r="J283" s="179" t="s">
        <v>2152</v>
      </c>
      <c r="K283" s="38">
        <v>3</v>
      </c>
      <c r="L283" s="516">
        <v>4000</v>
      </c>
      <c r="M283" s="472" t="s">
        <v>2157</v>
      </c>
      <c r="N283" s="33" t="s">
        <v>2155</v>
      </c>
    </row>
    <row r="284" spans="1:15" s="106" customFormat="1" ht="33" customHeight="1" x14ac:dyDescent="0.4">
      <c r="A284" s="155">
        <v>392</v>
      </c>
      <c r="B284" s="152" t="s">
        <v>1712</v>
      </c>
      <c r="C284" s="178" t="s">
        <v>2180</v>
      </c>
      <c r="D284" s="4" t="s">
        <v>2178</v>
      </c>
      <c r="E284" s="5" t="s">
        <v>2205</v>
      </c>
      <c r="F284" s="36" t="s">
        <v>2206</v>
      </c>
      <c r="G284" s="34" t="s">
        <v>2179</v>
      </c>
      <c r="H284" s="108">
        <v>30000</v>
      </c>
      <c r="I284" s="382">
        <v>70000</v>
      </c>
      <c r="J284" s="179" t="s">
        <v>2177</v>
      </c>
      <c r="K284" s="38">
        <v>0.2</v>
      </c>
      <c r="L284" s="516">
        <v>4200</v>
      </c>
      <c r="M284" s="472" t="s">
        <v>2207</v>
      </c>
      <c r="N284" s="33" t="s">
        <v>2223</v>
      </c>
      <c r="O284" s="106" t="s">
        <v>2217</v>
      </c>
    </row>
    <row r="285" spans="1:15" s="106" customFormat="1" ht="33" customHeight="1" x14ac:dyDescent="0.4">
      <c r="A285" s="155">
        <v>406</v>
      </c>
      <c r="B285" s="152" t="s">
        <v>2160</v>
      </c>
      <c r="C285" s="178" t="s">
        <v>2161</v>
      </c>
      <c r="D285" s="4" t="s">
        <v>200</v>
      </c>
      <c r="E285" s="5" t="s">
        <v>201</v>
      </c>
      <c r="F285" s="36"/>
      <c r="G285" s="34" t="s">
        <v>2159</v>
      </c>
      <c r="H285" s="108">
        <v>20000</v>
      </c>
      <c r="I285" s="382">
        <v>80000</v>
      </c>
      <c r="J285" s="179" t="s">
        <v>2158</v>
      </c>
      <c r="K285" s="38">
        <v>1</v>
      </c>
      <c r="L285" s="516">
        <v>3000</v>
      </c>
      <c r="M285" s="472"/>
      <c r="N285" s="5" t="s">
        <v>3179</v>
      </c>
    </row>
    <row r="286" spans="1:15" s="106" customFormat="1" ht="33" customHeight="1" x14ac:dyDescent="0.4">
      <c r="A286" s="155">
        <v>293</v>
      </c>
      <c r="B286" s="152" t="s">
        <v>1712</v>
      </c>
      <c r="C286" s="178" t="s">
        <v>2165</v>
      </c>
      <c r="D286" s="172" t="s">
        <v>200</v>
      </c>
      <c r="E286" s="155" t="s">
        <v>1605</v>
      </c>
      <c r="F286" s="180" t="s">
        <v>2162</v>
      </c>
      <c r="G286" s="177" t="s">
        <v>2163</v>
      </c>
      <c r="H286" s="153">
        <v>85000</v>
      </c>
      <c r="I286" s="382">
        <f>200000+30000</f>
        <v>230000</v>
      </c>
      <c r="J286" s="179" t="s">
        <v>2166</v>
      </c>
      <c r="K286" s="190">
        <v>1.5</v>
      </c>
      <c r="L286" s="313">
        <v>4500</v>
      </c>
      <c r="M286" s="331" t="s">
        <v>2164</v>
      </c>
      <c r="N286" s="155"/>
    </row>
    <row r="287" spans="1:15" s="106" customFormat="1" ht="33" customHeight="1" x14ac:dyDescent="0.4">
      <c r="A287" s="155">
        <v>201</v>
      </c>
      <c r="B287" s="152" t="s">
        <v>1784</v>
      </c>
      <c r="C287" s="178" t="s">
        <v>2171</v>
      </c>
      <c r="D287" s="4" t="s">
        <v>200</v>
      </c>
      <c r="E287" s="5" t="s">
        <v>1605</v>
      </c>
      <c r="F287" s="36" t="s">
        <v>2168</v>
      </c>
      <c r="G287" s="34" t="s">
        <v>2169</v>
      </c>
      <c r="H287" s="108">
        <v>80000</v>
      </c>
      <c r="I287" s="382">
        <f>180000+20000</f>
        <v>200000</v>
      </c>
      <c r="J287" s="179" t="s">
        <v>2170</v>
      </c>
      <c r="K287" s="38">
        <v>1.5</v>
      </c>
      <c r="L287" s="516">
        <v>4000</v>
      </c>
      <c r="M287" s="472" t="s">
        <v>2175</v>
      </c>
      <c r="N287" s="5"/>
    </row>
    <row r="288" spans="1:15" s="106" customFormat="1" ht="33" customHeight="1" x14ac:dyDescent="0.4">
      <c r="A288" s="155">
        <v>405</v>
      </c>
      <c r="B288" s="152" t="s">
        <v>2172</v>
      </c>
      <c r="C288" s="178" t="s">
        <v>2173</v>
      </c>
      <c r="D288" s="4" t="s">
        <v>1547</v>
      </c>
      <c r="E288" s="5" t="s">
        <v>1605</v>
      </c>
      <c r="F288" s="36" t="s">
        <v>2383</v>
      </c>
      <c r="G288" s="34" t="s">
        <v>2174</v>
      </c>
      <c r="H288" s="108">
        <v>56000</v>
      </c>
      <c r="I288" s="382">
        <f>195000+20000</f>
        <v>215000</v>
      </c>
      <c r="J288" s="179" t="s">
        <v>2170</v>
      </c>
      <c r="K288" s="38">
        <v>1.5</v>
      </c>
      <c r="L288" s="516">
        <v>3300</v>
      </c>
      <c r="M288" s="472" t="s">
        <v>2176</v>
      </c>
      <c r="N288" s="5" t="s">
        <v>2167</v>
      </c>
    </row>
    <row r="289" spans="1:16" s="106" customFormat="1" ht="33" customHeight="1" x14ac:dyDescent="0.4">
      <c r="A289" s="155">
        <v>408</v>
      </c>
      <c r="B289" s="152" t="s">
        <v>1712</v>
      </c>
      <c r="C289" s="178" t="s">
        <v>2189</v>
      </c>
      <c r="D289" s="172" t="s">
        <v>2178</v>
      </c>
      <c r="E289" s="155" t="s">
        <v>3193</v>
      </c>
      <c r="F289" s="180" t="s">
        <v>3192</v>
      </c>
      <c r="G289" s="177" t="s">
        <v>2193</v>
      </c>
      <c r="H289" s="153">
        <v>30000</v>
      </c>
      <c r="I289" s="382">
        <v>70000</v>
      </c>
      <c r="J289" s="179" t="s">
        <v>2194</v>
      </c>
      <c r="K289" s="190">
        <v>0.2</v>
      </c>
      <c r="L289" s="313">
        <v>4200</v>
      </c>
      <c r="M289" s="331" t="s">
        <v>3194</v>
      </c>
      <c r="N289" s="155" t="s">
        <v>3151</v>
      </c>
      <c r="O289" s="106" t="s">
        <v>2217</v>
      </c>
    </row>
    <row r="290" spans="1:16" s="106" customFormat="1" ht="33" customHeight="1" x14ac:dyDescent="0.4">
      <c r="A290" s="155">
        <v>19</v>
      </c>
      <c r="B290" s="152" t="s">
        <v>2191</v>
      </c>
      <c r="C290" s="178" t="s">
        <v>2189</v>
      </c>
      <c r="D290" s="4" t="s">
        <v>200</v>
      </c>
      <c r="E290" s="5" t="s">
        <v>1605</v>
      </c>
      <c r="F290" s="36" t="s">
        <v>2382</v>
      </c>
      <c r="G290" s="34"/>
      <c r="H290" s="131">
        <v>90000</v>
      </c>
      <c r="I290" s="382">
        <v>150000</v>
      </c>
      <c r="J290" s="179" t="s">
        <v>2188</v>
      </c>
      <c r="K290" s="38">
        <v>1.8</v>
      </c>
      <c r="L290" s="516">
        <v>3000</v>
      </c>
      <c r="M290" s="472" t="s">
        <v>2190</v>
      </c>
      <c r="N290" s="5" t="s">
        <v>2167</v>
      </c>
    </row>
    <row r="291" spans="1:16" s="106" customFormat="1" ht="33" customHeight="1" x14ac:dyDescent="0.4">
      <c r="A291" s="155">
        <v>359</v>
      </c>
      <c r="B291" s="152" t="s">
        <v>1712</v>
      </c>
      <c r="C291" s="178" t="s">
        <v>2224</v>
      </c>
      <c r="D291" s="4" t="s">
        <v>200</v>
      </c>
      <c r="E291" s="5" t="s">
        <v>1605</v>
      </c>
      <c r="F291" s="36" t="s">
        <v>2195</v>
      </c>
      <c r="G291" s="34" t="s">
        <v>1807</v>
      </c>
      <c r="H291" s="108">
        <v>35000</v>
      </c>
      <c r="I291" s="382">
        <v>152381</v>
      </c>
      <c r="J291" s="179" t="s">
        <v>2225</v>
      </c>
      <c r="K291" s="38">
        <v>1.5</v>
      </c>
      <c r="L291" s="516">
        <v>3000</v>
      </c>
      <c r="M291" s="472" t="s">
        <v>2196</v>
      </c>
      <c r="N291" s="5" t="s">
        <v>2226</v>
      </c>
      <c r="O291" s="106" t="s">
        <v>2227</v>
      </c>
    </row>
    <row r="292" spans="1:16" s="106" customFormat="1" ht="33" customHeight="1" x14ac:dyDescent="0.4">
      <c r="A292" s="155">
        <v>399</v>
      </c>
      <c r="B292" s="152" t="s">
        <v>2371</v>
      </c>
      <c r="C292" s="178" t="s">
        <v>2564</v>
      </c>
      <c r="D292" s="172" t="s">
        <v>200</v>
      </c>
      <c r="E292" s="155" t="s">
        <v>1605</v>
      </c>
      <c r="F292" s="180" t="s">
        <v>2585</v>
      </c>
      <c r="G292" s="177" t="s">
        <v>2199</v>
      </c>
      <c r="H292" s="153">
        <v>60000</v>
      </c>
      <c r="I292" s="382">
        <v>200000</v>
      </c>
      <c r="J292" s="179" t="s">
        <v>2200</v>
      </c>
      <c r="K292" s="190">
        <v>1.5</v>
      </c>
      <c r="L292" s="313">
        <v>3000</v>
      </c>
      <c r="M292" s="331" t="s">
        <v>2201</v>
      </c>
      <c r="N292" s="155" t="s">
        <v>2202</v>
      </c>
    </row>
    <row r="293" spans="1:16" s="106" customFormat="1" ht="33" customHeight="1" x14ac:dyDescent="0.4">
      <c r="A293" s="155">
        <v>329</v>
      </c>
      <c r="B293" s="152" t="s">
        <v>1712</v>
      </c>
      <c r="C293" s="178" t="s">
        <v>2232</v>
      </c>
      <c r="D293" s="4" t="s">
        <v>1547</v>
      </c>
      <c r="E293" s="5" t="s">
        <v>1605</v>
      </c>
      <c r="F293" s="36" t="s">
        <v>2228</v>
      </c>
      <c r="G293" s="34" t="s">
        <v>2229</v>
      </c>
      <c r="H293" s="108">
        <v>40000</v>
      </c>
      <c r="I293" s="382">
        <v>100000</v>
      </c>
      <c r="J293" s="179" t="s">
        <v>2230</v>
      </c>
      <c r="K293" s="38">
        <v>0.5</v>
      </c>
      <c r="L293" s="516">
        <v>2500</v>
      </c>
      <c r="M293" s="472" t="s">
        <v>2231</v>
      </c>
      <c r="N293" s="5" t="s">
        <v>815</v>
      </c>
      <c r="O293" s="106" t="s">
        <v>2233</v>
      </c>
    </row>
    <row r="294" spans="1:16" s="106" customFormat="1" ht="33" customHeight="1" x14ac:dyDescent="0.4">
      <c r="A294" s="155">
        <v>411</v>
      </c>
      <c r="B294" s="152" t="s">
        <v>2237</v>
      </c>
      <c r="C294" s="178" t="s">
        <v>2238</v>
      </c>
      <c r="D294" s="4" t="s">
        <v>2381</v>
      </c>
      <c r="E294" s="5" t="s">
        <v>1605</v>
      </c>
      <c r="F294" s="36" t="s">
        <v>2239</v>
      </c>
      <c r="G294" s="34" t="s">
        <v>2234</v>
      </c>
      <c r="H294" s="153">
        <v>170000</v>
      </c>
      <c r="I294" s="382">
        <v>270000</v>
      </c>
      <c r="J294" s="179" t="s">
        <v>2236</v>
      </c>
      <c r="K294" s="38">
        <v>1</v>
      </c>
      <c r="L294" s="516">
        <v>4500</v>
      </c>
      <c r="M294" s="472" t="s">
        <v>2235</v>
      </c>
      <c r="N294" s="155" t="s">
        <v>2241</v>
      </c>
      <c r="O294" s="106" t="s">
        <v>2242</v>
      </c>
    </row>
    <row r="295" spans="1:16" s="106" customFormat="1" ht="33" customHeight="1" x14ac:dyDescent="0.4">
      <c r="A295" s="155">
        <v>367</v>
      </c>
      <c r="B295" s="152" t="s">
        <v>1712</v>
      </c>
      <c r="C295" s="178" t="s">
        <v>2248</v>
      </c>
      <c r="D295" s="4" t="s">
        <v>200</v>
      </c>
      <c r="E295" s="5" t="s">
        <v>1605</v>
      </c>
      <c r="F295" s="36" t="s">
        <v>2243</v>
      </c>
      <c r="G295" s="34" t="s">
        <v>1961</v>
      </c>
      <c r="H295" s="108">
        <v>60000</v>
      </c>
      <c r="I295" s="382">
        <v>170000</v>
      </c>
      <c r="J295" s="179" t="s">
        <v>2247</v>
      </c>
      <c r="K295" s="38">
        <v>1.4</v>
      </c>
      <c r="L295" s="516">
        <v>4000</v>
      </c>
      <c r="M295" s="472" t="s">
        <v>2244</v>
      </c>
      <c r="N295" s="603" t="s">
        <v>2245</v>
      </c>
    </row>
    <row r="296" spans="1:16" s="106" customFormat="1" ht="33" customHeight="1" x14ac:dyDescent="0.4">
      <c r="A296" s="155">
        <v>412</v>
      </c>
      <c r="B296" s="152" t="s">
        <v>1712</v>
      </c>
      <c r="C296" s="178" t="s">
        <v>2253</v>
      </c>
      <c r="D296" s="172" t="s">
        <v>2178</v>
      </c>
      <c r="E296" s="155" t="s">
        <v>2192</v>
      </c>
      <c r="F296" s="180" t="s">
        <v>2312</v>
      </c>
      <c r="G296" s="177" t="s">
        <v>2250</v>
      </c>
      <c r="H296" s="153">
        <v>30000</v>
      </c>
      <c r="I296" s="382">
        <v>66667</v>
      </c>
      <c r="J296" s="179" t="s">
        <v>2251</v>
      </c>
      <c r="K296" s="190">
        <v>0.2</v>
      </c>
      <c r="L296" s="313">
        <v>4200</v>
      </c>
      <c r="M296" s="331" t="s">
        <v>2252</v>
      </c>
      <c r="N296" s="155" t="s">
        <v>666</v>
      </c>
      <c r="O296" s="106" t="s">
        <v>2217</v>
      </c>
    </row>
    <row r="297" spans="1:16" s="106" customFormat="1" ht="33" customHeight="1" x14ac:dyDescent="0.4">
      <c r="A297" s="155">
        <v>45</v>
      </c>
      <c r="B297" s="152" t="s">
        <v>2269</v>
      </c>
      <c r="C297" s="178" t="s">
        <v>2272</v>
      </c>
      <c r="D297" s="4" t="s">
        <v>250</v>
      </c>
      <c r="E297" s="5" t="s">
        <v>2266</v>
      </c>
      <c r="F297" s="36" t="s">
        <v>2271</v>
      </c>
      <c r="G297" s="34" t="s">
        <v>2267</v>
      </c>
      <c r="H297" s="108">
        <v>245000</v>
      </c>
      <c r="I297" s="382">
        <v>230000</v>
      </c>
      <c r="J297" s="179" t="s">
        <v>2268</v>
      </c>
      <c r="K297" s="38">
        <v>2.5</v>
      </c>
      <c r="L297" s="516">
        <v>3000</v>
      </c>
      <c r="M297" s="662" t="s">
        <v>2270</v>
      </c>
      <c r="N297" s="5" t="s">
        <v>2297</v>
      </c>
      <c r="P297" s="106" t="s">
        <v>3155</v>
      </c>
    </row>
    <row r="298" spans="1:16" s="106" customFormat="1" ht="33" customHeight="1" x14ac:dyDescent="0.4">
      <c r="A298" s="155">
        <v>89</v>
      </c>
      <c r="B298" s="152" t="s">
        <v>2125</v>
      </c>
      <c r="C298" s="178" t="s">
        <v>2275</v>
      </c>
      <c r="D298" s="172" t="s">
        <v>1547</v>
      </c>
      <c r="E298" s="155" t="s">
        <v>201</v>
      </c>
      <c r="F298" s="180" t="s">
        <v>2274</v>
      </c>
      <c r="G298" s="177">
        <v>41661</v>
      </c>
      <c r="H298" s="153">
        <v>140000</v>
      </c>
      <c r="I298" s="382">
        <v>150000</v>
      </c>
      <c r="J298" s="179" t="s">
        <v>2405</v>
      </c>
      <c r="K298" s="190">
        <v>1.5</v>
      </c>
      <c r="L298" s="313">
        <v>3000</v>
      </c>
      <c r="M298" s="331" t="s">
        <v>396</v>
      </c>
      <c r="N298" s="155"/>
    </row>
    <row r="299" spans="1:16" s="106" customFormat="1" ht="33" customHeight="1" x14ac:dyDescent="0.4">
      <c r="A299" s="5">
        <v>400</v>
      </c>
      <c r="B299" s="33" t="s">
        <v>1197</v>
      </c>
      <c r="C299" s="178" t="s">
        <v>2277</v>
      </c>
      <c r="D299" s="4" t="s">
        <v>991</v>
      </c>
      <c r="E299" s="5" t="s">
        <v>105</v>
      </c>
      <c r="F299" s="36" t="s">
        <v>3153</v>
      </c>
      <c r="G299" s="34" t="s">
        <v>2108</v>
      </c>
      <c r="H299" s="108">
        <v>115000</v>
      </c>
      <c r="I299" s="382">
        <v>270000</v>
      </c>
      <c r="J299" s="179" t="s">
        <v>2276</v>
      </c>
      <c r="K299" s="38">
        <v>2</v>
      </c>
      <c r="L299" s="516">
        <v>5000</v>
      </c>
      <c r="M299" s="472" t="s">
        <v>3154</v>
      </c>
      <c r="N299" s="155" t="s">
        <v>1322</v>
      </c>
      <c r="O299" s="106" t="s">
        <v>2217</v>
      </c>
    </row>
    <row r="300" spans="1:16" s="106" customFormat="1" ht="33" customHeight="1" x14ac:dyDescent="0.4">
      <c r="A300" s="155">
        <v>378</v>
      </c>
      <c r="B300" s="152" t="s">
        <v>1712</v>
      </c>
      <c r="C300" s="178" t="s">
        <v>2282</v>
      </c>
      <c r="D300" s="172" t="s">
        <v>200</v>
      </c>
      <c r="E300" s="155" t="s">
        <v>1605</v>
      </c>
      <c r="F300" s="180" t="s">
        <v>2632</v>
      </c>
      <c r="G300" s="177" t="s">
        <v>2279</v>
      </c>
      <c r="H300" s="153">
        <v>70000</v>
      </c>
      <c r="I300" s="382">
        <v>160000</v>
      </c>
      <c r="J300" s="179" t="s">
        <v>2280</v>
      </c>
      <c r="K300" s="190">
        <v>1.3</v>
      </c>
      <c r="L300" s="313">
        <v>4000</v>
      </c>
      <c r="M300" s="331" t="s">
        <v>2281</v>
      </c>
      <c r="N300" s="155" t="s">
        <v>1322</v>
      </c>
    </row>
    <row r="301" spans="1:16" s="106" customFormat="1" ht="33" customHeight="1" x14ac:dyDescent="0.4">
      <c r="A301" s="155">
        <v>410</v>
      </c>
      <c r="B301" s="152" t="s">
        <v>2287</v>
      </c>
      <c r="C301" s="178" t="s">
        <v>2288</v>
      </c>
      <c r="D301" s="4" t="s">
        <v>200</v>
      </c>
      <c r="E301" s="5" t="s">
        <v>2283</v>
      </c>
      <c r="F301" s="36" t="s">
        <v>2284</v>
      </c>
      <c r="G301" s="34" t="s">
        <v>2285</v>
      </c>
      <c r="H301" s="108">
        <v>53000</v>
      </c>
      <c r="I301" s="382">
        <v>280000</v>
      </c>
      <c r="J301" s="179" t="s">
        <v>2286</v>
      </c>
      <c r="K301" s="190">
        <v>2.5</v>
      </c>
      <c r="L301" s="313">
        <v>4500</v>
      </c>
      <c r="M301" s="331" t="s">
        <v>2289</v>
      </c>
      <c r="N301" s="155" t="s">
        <v>744</v>
      </c>
    </row>
    <row r="302" spans="1:16" s="106" customFormat="1" ht="33" customHeight="1" x14ac:dyDescent="0.4">
      <c r="A302" s="155">
        <v>127</v>
      </c>
      <c r="B302" s="33" t="s">
        <v>8</v>
      </c>
      <c r="C302" s="178" t="s">
        <v>2291</v>
      </c>
      <c r="D302" s="4" t="s">
        <v>1547</v>
      </c>
      <c r="E302" s="5" t="s">
        <v>1605</v>
      </c>
      <c r="F302" s="36" t="s">
        <v>2615</v>
      </c>
      <c r="G302" s="34" t="s">
        <v>2290</v>
      </c>
      <c r="H302" s="108">
        <v>395000</v>
      </c>
      <c r="I302" s="382">
        <v>300000</v>
      </c>
      <c r="J302" s="179" t="s">
        <v>2292</v>
      </c>
      <c r="K302" s="38">
        <v>2.5</v>
      </c>
      <c r="L302" s="516">
        <v>4500</v>
      </c>
      <c r="M302" s="472">
        <v>2008</v>
      </c>
      <c r="N302" s="5" t="s">
        <v>2294</v>
      </c>
    </row>
    <row r="303" spans="1:16" s="106" customFormat="1" ht="33" customHeight="1" x14ac:dyDescent="0.4">
      <c r="A303" s="155">
        <v>268</v>
      </c>
      <c r="B303" s="33" t="s">
        <v>1712</v>
      </c>
      <c r="C303" s="178" t="s">
        <v>2303</v>
      </c>
      <c r="D303" s="4" t="s">
        <v>200</v>
      </c>
      <c r="E303" s="5" t="s">
        <v>1605</v>
      </c>
      <c r="F303" s="36" t="s">
        <v>2299</v>
      </c>
      <c r="G303" s="34" t="s">
        <v>2300</v>
      </c>
      <c r="H303" s="108">
        <v>50000</v>
      </c>
      <c r="I303" s="382">
        <v>150000</v>
      </c>
      <c r="J303" s="179" t="s">
        <v>2302</v>
      </c>
      <c r="K303" s="38">
        <v>1.3</v>
      </c>
      <c r="L303" s="516">
        <v>3000</v>
      </c>
      <c r="M303" s="472" t="s">
        <v>2301</v>
      </c>
      <c r="N303" s="603" t="s">
        <v>2305</v>
      </c>
    </row>
    <row r="304" spans="1:16" s="106" customFormat="1" ht="33" customHeight="1" x14ac:dyDescent="0.4">
      <c r="A304" s="155">
        <v>409</v>
      </c>
      <c r="B304" s="152" t="s">
        <v>2923</v>
      </c>
      <c r="C304" s="178" t="s">
        <v>2308</v>
      </c>
      <c r="D304" s="172" t="s">
        <v>200</v>
      </c>
      <c r="E304" s="155" t="s">
        <v>2283</v>
      </c>
      <c r="F304" s="180" t="s">
        <v>2306</v>
      </c>
      <c r="G304" s="177" t="s">
        <v>2285</v>
      </c>
      <c r="H304" s="153">
        <v>53000</v>
      </c>
      <c r="I304" s="382">
        <v>260000</v>
      </c>
      <c r="J304" s="179" t="s">
        <v>2307</v>
      </c>
      <c r="K304" s="190">
        <v>2.5</v>
      </c>
      <c r="L304" s="313">
        <v>3000</v>
      </c>
      <c r="M304" s="331" t="s">
        <v>2309</v>
      </c>
      <c r="N304" s="155" t="s">
        <v>2167</v>
      </c>
    </row>
    <row r="305" spans="1:15" s="106" customFormat="1" ht="33" customHeight="1" x14ac:dyDescent="0.4">
      <c r="A305" s="5">
        <v>416</v>
      </c>
      <c r="B305" s="33" t="s">
        <v>1197</v>
      </c>
      <c r="C305" s="178" t="s">
        <v>2319</v>
      </c>
      <c r="D305" s="4" t="s">
        <v>200</v>
      </c>
      <c r="E305" s="5" t="s">
        <v>1605</v>
      </c>
      <c r="F305" s="36" t="s">
        <v>2372</v>
      </c>
      <c r="G305" s="34" t="s">
        <v>2317</v>
      </c>
      <c r="H305" s="108">
        <v>70000</v>
      </c>
      <c r="I305" s="382">
        <v>180000</v>
      </c>
      <c r="J305" s="179" t="s">
        <v>2316</v>
      </c>
      <c r="K305" s="38">
        <v>1.5</v>
      </c>
      <c r="L305" s="516">
        <v>6000</v>
      </c>
      <c r="M305" s="472" t="s">
        <v>2318</v>
      </c>
      <c r="N305" s="5" t="s">
        <v>2456</v>
      </c>
      <c r="O305" s="106" t="s">
        <v>2458</v>
      </c>
    </row>
    <row r="306" spans="1:15" s="106" customFormat="1" ht="33" customHeight="1" x14ac:dyDescent="0.4">
      <c r="A306" s="155">
        <v>103</v>
      </c>
      <c r="B306" s="4" t="s">
        <v>2370</v>
      </c>
      <c r="C306" s="178" t="s">
        <v>2339</v>
      </c>
      <c r="D306" s="4" t="s">
        <v>200</v>
      </c>
      <c r="E306" s="5" t="s">
        <v>343</v>
      </c>
      <c r="F306" s="36" t="s">
        <v>1980</v>
      </c>
      <c r="G306" s="34" t="s">
        <v>1981</v>
      </c>
      <c r="H306" s="108">
        <v>85000</v>
      </c>
      <c r="I306" s="382">
        <v>78000</v>
      </c>
      <c r="J306" s="179" t="s">
        <v>2335</v>
      </c>
      <c r="K306" s="38">
        <v>1.3</v>
      </c>
      <c r="L306" s="516">
        <v>4000</v>
      </c>
      <c r="M306" s="472">
        <v>1995</v>
      </c>
      <c r="N306" s="5"/>
    </row>
    <row r="307" spans="1:15" s="106" customFormat="1" ht="33" customHeight="1" x14ac:dyDescent="0.4">
      <c r="A307" s="155">
        <v>421</v>
      </c>
      <c r="B307" s="33" t="s">
        <v>1197</v>
      </c>
      <c r="C307" s="178" t="s">
        <v>2331</v>
      </c>
      <c r="D307" s="4" t="s">
        <v>200</v>
      </c>
      <c r="E307" s="5" t="s">
        <v>1605</v>
      </c>
      <c r="F307" s="36" t="s">
        <v>2332</v>
      </c>
      <c r="G307" s="34" t="s">
        <v>2333</v>
      </c>
      <c r="H307" s="108">
        <v>65000</v>
      </c>
      <c r="I307" s="382">
        <v>145000</v>
      </c>
      <c r="J307" s="179" t="s">
        <v>2340</v>
      </c>
      <c r="K307" s="38">
        <v>1.5</v>
      </c>
      <c r="L307" s="516">
        <v>3000</v>
      </c>
      <c r="M307" s="472" t="s">
        <v>2334</v>
      </c>
      <c r="N307" s="155" t="s">
        <v>2456</v>
      </c>
      <c r="O307" s="106" t="s">
        <v>2458</v>
      </c>
    </row>
    <row r="308" spans="1:15" s="106" customFormat="1" ht="33" customHeight="1" x14ac:dyDescent="0.4">
      <c r="A308" s="155">
        <v>381</v>
      </c>
      <c r="B308" s="33" t="s">
        <v>1197</v>
      </c>
      <c r="C308" s="178" t="s">
        <v>2344</v>
      </c>
      <c r="D308" s="4" t="s">
        <v>1547</v>
      </c>
      <c r="E308" s="5" t="s">
        <v>1605</v>
      </c>
      <c r="F308" s="36" t="s">
        <v>2341</v>
      </c>
      <c r="G308" s="34" t="s">
        <v>2010</v>
      </c>
      <c r="H308" s="108">
        <v>70000</v>
      </c>
      <c r="I308" s="382">
        <v>180000</v>
      </c>
      <c r="J308" s="179" t="s">
        <v>2343</v>
      </c>
      <c r="K308" s="38">
        <v>1.5</v>
      </c>
      <c r="L308" s="516">
        <v>3000</v>
      </c>
      <c r="M308" s="472" t="s">
        <v>2342</v>
      </c>
      <c r="N308" s="155" t="s">
        <v>2456</v>
      </c>
      <c r="O308" s="106" t="s">
        <v>2458</v>
      </c>
    </row>
    <row r="309" spans="1:15" s="106" customFormat="1" ht="33" customHeight="1" x14ac:dyDescent="0.4">
      <c r="A309" s="155">
        <v>417</v>
      </c>
      <c r="B309" s="33" t="s">
        <v>1197</v>
      </c>
      <c r="C309" s="178" t="s">
        <v>2352</v>
      </c>
      <c r="D309" s="4" t="s">
        <v>1547</v>
      </c>
      <c r="E309" s="5" t="s">
        <v>1605</v>
      </c>
      <c r="F309" s="36" t="s">
        <v>2351</v>
      </c>
      <c r="G309" s="34" t="s">
        <v>2333</v>
      </c>
      <c r="H309" s="108">
        <v>100000</v>
      </c>
      <c r="I309" s="382">
        <v>200000</v>
      </c>
      <c r="J309" s="179" t="s">
        <v>2353</v>
      </c>
      <c r="K309" s="190">
        <v>2.5</v>
      </c>
      <c r="L309" s="313">
        <v>4500</v>
      </c>
      <c r="M309" s="331" t="s">
        <v>2347</v>
      </c>
      <c r="N309" s="5" t="s">
        <v>1322</v>
      </c>
    </row>
    <row r="310" spans="1:15" s="106" customFormat="1" ht="33" customHeight="1" x14ac:dyDescent="0.4">
      <c r="A310" s="155">
        <v>159</v>
      </c>
      <c r="B310" s="152" t="s">
        <v>1833</v>
      </c>
      <c r="C310" s="178" t="s">
        <v>2348</v>
      </c>
      <c r="D310" s="172" t="s">
        <v>1547</v>
      </c>
      <c r="E310" s="155" t="s">
        <v>1605</v>
      </c>
      <c r="F310" s="180" t="s">
        <v>2350</v>
      </c>
      <c r="G310" s="177" t="s">
        <v>2357</v>
      </c>
      <c r="H310" s="153">
        <v>270000</v>
      </c>
      <c r="I310" s="382">
        <v>310000</v>
      </c>
      <c r="J310" s="179" t="s">
        <v>2353</v>
      </c>
      <c r="K310" s="190">
        <v>2.5</v>
      </c>
      <c r="L310" s="313">
        <v>3000</v>
      </c>
      <c r="M310" s="331">
        <v>2000</v>
      </c>
      <c r="N310" s="155" t="s">
        <v>2660</v>
      </c>
      <c r="O310" s="106" t="s">
        <v>2661</v>
      </c>
    </row>
    <row r="311" spans="1:15" s="106" customFormat="1" ht="33" customHeight="1" x14ac:dyDescent="0.4">
      <c r="A311" s="155">
        <v>297</v>
      </c>
      <c r="B311" s="33" t="s">
        <v>1712</v>
      </c>
      <c r="C311" s="178" t="s">
        <v>2348</v>
      </c>
      <c r="D311" s="4" t="s">
        <v>200</v>
      </c>
      <c r="E311" s="5" t="s">
        <v>1691</v>
      </c>
      <c r="F311" s="36" t="s">
        <v>2349</v>
      </c>
      <c r="G311" s="34" t="s">
        <v>1983</v>
      </c>
      <c r="H311" s="108">
        <v>90000</v>
      </c>
      <c r="I311" s="382">
        <v>160000</v>
      </c>
      <c r="J311" s="179" t="s">
        <v>2353</v>
      </c>
      <c r="K311" s="190">
        <v>1.5</v>
      </c>
      <c r="L311" s="313">
        <v>5120</v>
      </c>
      <c r="M311" s="331" t="s">
        <v>2358</v>
      </c>
      <c r="N311" s="5" t="s">
        <v>1322</v>
      </c>
      <c r="O311" s="106" t="s">
        <v>2458</v>
      </c>
    </row>
    <row r="312" spans="1:15" s="106" customFormat="1" ht="33" customHeight="1" x14ac:dyDescent="0.4">
      <c r="A312" s="155">
        <v>365</v>
      </c>
      <c r="B312" s="33" t="s">
        <v>1712</v>
      </c>
      <c r="C312" s="178" t="s">
        <v>2401</v>
      </c>
      <c r="D312" s="4" t="s">
        <v>200</v>
      </c>
      <c r="E312" s="5" t="s">
        <v>1785</v>
      </c>
      <c r="F312" s="36" t="s">
        <v>2354</v>
      </c>
      <c r="G312" s="34" t="s">
        <v>2355</v>
      </c>
      <c r="H312" s="108">
        <v>80000</v>
      </c>
      <c r="I312" s="382">
        <v>97000</v>
      </c>
      <c r="J312" s="179" t="s">
        <v>2360</v>
      </c>
      <c r="K312" s="38">
        <v>1.5</v>
      </c>
      <c r="L312" s="516">
        <v>3000</v>
      </c>
      <c r="M312" s="472" t="s">
        <v>2356</v>
      </c>
      <c r="N312" s="5" t="s">
        <v>1322</v>
      </c>
      <c r="O312" s="106" t="s">
        <v>2458</v>
      </c>
    </row>
    <row r="313" spans="1:15" s="106" customFormat="1" ht="33" customHeight="1" x14ac:dyDescent="0.4">
      <c r="A313" s="155">
        <v>409</v>
      </c>
      <c r="B313" s="152" t="s">
        <v>2378</v>
      </c>
      <c r="C313" s="178" t="s">
        <v>2374</v>
      </c>
      <c r="D313" s="172" t="s">
        <v>200</v>
      </c>
      <c r="E313" s="155" t="s">
        <v>2283</v>
      </c>
      <c r="F313" s="180" t="s">
        <v>2399</v>
      </c>
      <c r="G313" s="177" t="s">
        <v>2285</v>
      </c>
      <c r="H313" s="153">
        <v>53000</v>
      </c>
      <c r="I313" s="382">
        <v>260000</v>
      </c>
      <c r="J313" s="179" t="s">
        <v>2375</v>
      </c>
      <c r="K313" s="190">
        <v>2.5</v>
      </c>
      <c r="L313" s="313">
        <v>3000</v>
      </c>
      <c r="M313" s="331">
        <v>2011</v>
      </c>
      <c r="N313" s="155" t="s">
        <v>2167</v>
      </c>
    </row>
    <row r="314" spans="1:15" s="106" customFormat="1" ht="33" customHeight="1" x14ac:dyDescent="0.4">
      <c r="A314" s="155">
        <v>419</v>
      </c>
      <c r="B314" s="33" t="s">
        <v>1712</v>
      </c>
      <c r="C314" s="178" t="s">
        <v>2373</v>
      </c>
      <c r="D314" s="4" t="s">
        <v>200</v>
      </c>
      <c r="E314" s="5" t="s">
        <v>2377</v>
      </c>
      <c r="F314" s="36" t="s">
        <v>2398</v>
      </c>
      <c r="G314" s="34" t="s">
        <v>2333</v>
      </c>
      <c r="H314" s="108">
        <v>70000</v>
      </c>
      <c r="I314" s="382">
        <v>165000</v>
      </c>
      <c r="J314" s="179" t="s">
        <v>2375</v>
      </c>
      <c r="K314" s="38">
        <v>1.8</v>
      </c>
      <c r="L314" s="516">
        <v>3000</v>
      </c>
      <c r="M314" s="472" t="s">
        <v>2376</v>
      </c>
      <c r="N314" s="5" t="s">
        <v>1322</v>
      </c>
      <c r="O314" s="106" t="s">
        <v>2429</v>
      </c>
    </row>
    <row r="315" spans="1:15" s="106" customFormat="1" ht="33" customHeight="1" x14ac:dyDescent="0.4">
      <c r="A315" s="5">
        <v>427</v>
      </c>
      <c r="B315" s="33" t="s">
        <v>2395</v>
      </c>
      <c r="C315" s="178" t="s">
        <v>2394</v>
      </c>
      <c r="D315" s="4" t="s">
        <v>200</v>
      </c>
      <c r="E315" s="5" t="s">
        <v>1605</v>
      </c>
      <c r="F315" s="36" t="s">
        <v>2391</v>
      </c>
      <c r="G315" s="34" t="s">
        <v>2392</v>
      </c>
      <c r="H315" s="108">
        <v>60000</v>
      </c>
      <c r="I315" s="382">
        <v>210000</v>
      </c>
      <c r="J315" s="179" t="s">
        <v>2393</v>
      </c>
      <c r="K315" s="38">
        <v>1.5</v>
      </c>
      <c r="L315" s="516">
        <v>6000</v>
      </c>
      <c r="M315" s="472" t="s">
        <v>2396</v>
      </c>
      <c r="N315" s="5" t="s">
        <v>2167</v>
      </c>
    </row>
    <row r="316" spans="1:15" s="106" customFormat="1" ht="33" customHeight="1" x14ac:dyDescent="0.4">
      <c r="A316" s="155">
        <v>424</v>
      </c>
      <c r="B316" s="152" t="s">
        <v>2364</v>
      </c>
      <c r="C316" s="178" t="s">
        <v>2403</v>
      </c>
      <c r="D316" s="172" t="s">
        <v>14</v>
      </c>
      <c r="E316" s="155" t="s">
        <v>1491</v>
      </c>
      <c r="F316" s="180" t="s">
        <v>2400</v>
      </c>
      <c r="G316" s="177" t="s">
        <v>2359</v>
      </c>
      <c r="H316" s="153">
        <v>50000</v>
      </c>
      <c r="I316" s="382">
        <v>230000</v>
      </c>
      <c r="J316" s="179" t="s">
        <v>2402</v>
      </c>
      <c r="K316" s="190">
        <v>2.5</v>
      </c>
      <c r="L316" s="313">
        <v>4500</v>
      </c>
      <c r="M316" s="331"/>
      <c r="N316" s="155" t="s">
        <v>2167</v>
      </c>
    </row>
    <row r="317" spans="1:15" s="106" customFormat="1" ht="33" customHeight="1" x14ac:dyDescent="0.4">
      <c r="A317" s="155">
        <v>420</v>
      </c>
      <c r="B317" s="33" t="s">
        <v>1712</v>
      </c>
      <c r="C317" s="178" t="s">
        <v>2412</v>
      </c>
      <c r="D317" s="172" t="s">
        <v>11</v>
      </c>
      <c r="E317" s="155" t="s">
        <v>105</v>
      </c>
      <c r="F317" s="180" t="s">
        <v>2611</v>
      </c>
      <c r="G317" s="177" t="s">
        <v>2329</v>
      </c>
      <c r="H317" s="153">
        <v>90000</v>
      </c>
      <c r="I317" s="382">
        <v>190000</v>
      </c>
      <c r="J317" s="179" t="s">
        <v>2413</v>
      </c>
      <c r="K317" s="190">
        <v>1.3</v>
      </c>
      <c r="L317" s="313">
        <v>4300</v>
      </c>
      <c r="M317" s="152" t="s">
        <v>2330</v>
      </c>
      <c r="N317" s="155" t="s">
        <v>2456</v>
      </c>
    </row>
    <row r="318" spans="1:15" s="106" customFormat="1" ht="33" customHeight="1" x14ac:dyDescent="0.4">
      <c r="A318" s="155">
        <v>435</v>
      </c>
      <c r="B318" s="33" t="s">
        <v>1712</v>
      </c>
      <c r="C318" s="178" t="s">
        <v>2428</v>
      </c>
      <c r="D318" s="4" t="s">
        <v>200</v>
      </c>
      <c r="E318" s="5" t="s">
        <v>1605</v>
      </c>
      <c r="F318" s="36" t="s">
        <v>2421</v>
      </c>
      <c r="G318" s="34" t="s">
        <v>2422</v>
      </c>
      <c r="H318" s="108">
        <v>120000</v>
      </c>
      <c r="I318" s="382">
        <v>280000</v>
      </c>
      <c r="J318" s="179" t="s">
        <v>2424</v>
      </c>
      <c r="K318" s="38">
        <v>1.5</v>
      </c>
      <c r="L318" s="516">
        <v>4000</v>
      </c>
      <c r="M318" s="472" t="s">
        <v>2423</v>
      </c>
      <c r="N318" s="155" t="s">
        <v>2456</v>
      </c>
      <c r="O318" s="106" t="s">
        <v>2429</v>
      </c>
    </row>
    <row r="319" spans="1:15" s="106" customFormat="1" ht="33" customHeight="1" x14ac:dyDescent="0.4">
      <c r="A319" s="155">
        <v>215</v>
      </c>
      <c r="B319" s="33" t="s">
        <v>1833</v>
      </c>
      <c r="C319" s="178" t="s">
        <v>2435</v>
      </c>
      <c r="D319" s="4" t="s">
        <v>1547</v>
      </c>
      <c r="E319" s="5" t="s">
        <v>1605</v>
      </c>
      <c r="F319" s="36" t="s">
        <v>2437</v>
      </c>
      <c r="G319" s="34" t="s">
        <v>2436</v>
      </c>
      <c r="H319" s="108">
        <v>470000</v>
      </c>
      <c r="I319" s="382">
        <v>360000</v>
      </c>
      <c r="J319" s="179" t="s">
        <v>2433</v>
      </c>
      <c r="K319" s="38">
        <v>2.5</v>
      </c>
      <c r="L319" s="516">
        <v>4300</v>
      </c>
      <c r="M319" s="472" t="s">
        <v>2434</v>
      </c>
      <c r="N319" s="5" t="s">
        <v>2443</v>
      </c>
    </row>
    <row r="320" spans="1:15" s="106" customFormat="1" ht="33" customHeight="1" x14ac:dyDescent="0.4">
      <c r="A320" s="155">
        <v>113</v>
      </c>
      <c r="B320" s="33" t="s">
        <v>1833</v>
      </c>
      <c r="C320" s="178" t="s">
        <v>2439</v>
      </c>
      <c r="D320" s="4" t="s">
        <v>1547</v>
      </c>
      <c r="E320" s="5" t="s">
        <v>201</v>
      </c>
      <c r="F320" s="36" t="s">
        <v>3002</v>
      </c>
      <c r="G320" s="34" t="s">
        <v>2438</v>
      </c>
      <c r="H320" s="108">
        <v>175000</v>
      </c>
      <c r="I320" s="382">
        <v>250000</v>
      </c>
      <c r="J320" s="179" t="s">
        <v>2433</v>
      </c>
      <c r="K320" s="38">
        <v>2.5</v>
      </c>
      <c r="L320" s="516">
        <v>4000</v>
      </c>
      <c r="M320" s="472">
        <v>1998</v>
      </c>
      <c r="N320" s="5"/>
    </row>
    <row r="321" spans="1:15" s="106" customFormat="1" ht="33" customHeight="1" x14ac:dyDescent="0.4">
      <c r="A321" s="155">
        <v>436</v>
      </c>
      <c r="B321" s="33" t="s">
        <v>1712</v>
      </c>
      <c r="C321" s="178" t="s">
        <v>2445</v>
      </c>
      <c r="D321" s="4" t="s">
        <v>2027</v>
      </c>
      <c r="E321" s="5" t="s">
        <v>1605</v>
      </c>
      <c r="F321" s="36" t="s">
        <v>2444</v>
      </c>
      <c r="G321" s="34" t="s">
        <v>2422</v>
      </c>
      <c r="H321" s="108">
        <v>60000</v>
      </c>
      <c r="I321" s="382">
        <v>142857</v>
      </c>
      <c r="J321" s="179" t="s">
        <v>2447</v>
      </c>
      <c r="K321" s="38">
        <v>1.5</v>
      </c>
      <c r="L321" s="516">
        <v>200</v>
      </c>
      <c r="M321" s="472" t="s">
        <v>2446</v>
      </c>
      <c r="N321" s="5" t="s">
        <v>2660</v>
      </c>
    </row>
    <row r="322" spans="1:15" s="106" customFormat="1" ht="33" customHeight="1" x14ac:dyDescent="0.4">
      <c r="A322" s="155">
        <v>379</v>
      </c>
      <c r="B322" s="33" t="s">
        <v>1712</v>
      </c>
      <c r="C322" s="178" t="s">
        <v>2449</v>
      </c>
      <c r="D322" s="172" t="s">
        <v>11</v>
      </c>
      <c r="E322" s="155" t="s">
        <v>105</v>
      </c>
      <c r="F322" s="180" t="s">
        <v>2273</v>
      </c>
      <c r="G322" s="177" t="s">
        <v>1909</v>
      </c>
      <c r="H322" s="153">
        <v>50000</v>
      </c>
      <c r="I322" s="382">
        <v>150000</v>
      </c>
      <c r="J322" s="179" t="s">
        <v>2451</v>
      </c>
      <c r="K322" s="190">
        <v>1</v>
      </c>
      <c r="L322" s="313">
        <v>4000</v>
      </c>
      <c r="M322" s="472" t="s">
        <v>2450</v>
      </c>
      <c r="N322" s="155" t="s">
        <v>2456</v>
      </c>
      <c r="O322" s="106" t="s">
        <v>2468</v>
      </c>
    </row>
    <row r="323" spans="1:15" s="106" customFormat="1" ht="33" customHeight="1" x14ac:dyDescent="0.4">
      <c r="A323" s="155">
        <v>431</v>
      </c>
      <c r="B323" s="152" t="s">
        <v>2261</v>
      </c>
      <c r="C323" s="178" t="s">
        <v>2454</v>
      </c>
      <c r="D323" s="172" t="s">
        <v>250</v>
      </c>
      <c r="E323" s="155" t="s">
        <v>1737</v>
      </c>
      <c r="F323" s="180"/>
      <c r="G323" s="177" t="s">
        <v>2452</v>
      </c>
      <c r="H323" s="153">
        <v>90000</v>
      </c>
      <c r="I323" s="382">
        <v>150000</v>
      </c>
      <c r="J323" s="179" t="s">
        <v>2453</v>
      </c>
      <c r="K323" s="190">
        <v>3</v>
      </c>
      <c r="L323" s="313">
        <v>3000</v>
      </c>
      <c r="M323" s="152"/>
      <c r="N323" s="155" t="s">
        <v>744</v>
      </c>
      <c r="O323" s="106" t="s">
        <v>2663</v>
      </c>
    </row>
    <row r="324" spans="1:15" s="106" customFormat="1" ht="33" customHeight="1" x14ac:dyDescent="0.4">
      <c r="A324" s="155">
        <v>440</v>
      </c>
      <c r="B324" s="33" t="s">
        <v>1712</v>
      </c>
      <c r="C324" s="178" t="s">
        <v>2462</v>
      </c>
      <c r="D324" s="172" t="s">
        <v>11</v>
      </c>
      <c r="E324" s="155" t="s">
        <v>105</v>
      </c>
      <c r="F324" s="36" t="s">
        <v>2463</v>
      </c>
      <c r="G324" s="34" t="s">
        <v>2464</v>
      </c>
      <c r="H324" s="108">
        <v>120000</v>
      </c>
      <c r="I324" s="382">
        <v>250000</v>
      </c>
      <c r="J324" s="179" t="s">
        <v>2466</v>
      </c>
      <c r="K324" s="38">
        <v>1.3</v>
      </c>
      <c r="L324" s="516">
        <v>5000</v>
      </c>
      <c r="M324" s="472" t="s">
        <v>2465</v>
      </c>
      <c r="N324" s="155" t="s">
        <v>2456</v>
      </c>
      <c r="O324" s="106" t="s">
        <v>2468</v>
      </c>
    </row>
    <row r="325" spans="1:15" s="106" customFormat="1" ht="33" customHeight="1" x14ac:dyDescent="0.4">
      <c r="A325" s="155">
        <v>454</v>
      </c>
      <c r="B325" s="33" t="s">
        <v>2482</v>
      </c>
      <c r="C325" s="178" t="s">
        <v>2481</v>
      </c>
      <c r="D325" s="4" t="s">
        <v>250</v>
      </c>
      <c r="E325" s="5" t="s">
        <v>2477</v>
      </c>
      <c r="F325" s="36" t="s">
        <v>2478</v>
      </c>
      <c r="G325" s="34" t="s">
        <v>2479</v>
      </c>
      <c r="H325" s="108">
        <v>55000</v>
      </c>
      <c r="I325" s="382">
        <v>90000</v>
      </c>
      <c r="J325" s="179" t="s">
        <v>2480</v>
      </c>
      <c r="K325" s="38">
        <v>2.5</v>
      </c>
      <c r="L325" s="516">
        <v>3000</v>
      </c>
      <c r="M325" s="472">
        <v>1994.08</v>
      </c>
      <c r="N325" s="5" t="s">
        <v>2483</v>
      </c>
    </row>
    <row r="326" spans="1:15" s="106" customFormat="1" ht="33" customHeight="1" x14ac:dyDescent="0.4">
      <c r="A326" s="155">
        <v>445</v>
      </c>
      <c r="B326" s="152" t="s">
        <v>2486</v>
      </c>
      <c r="C326" s="178" t="s">
        <v>2484</v>
      </c>
      <c r="D326" s="172" t="s">
        <v>250</v>
      </c>
      <c r="E326" s="155" t="s">
        <v>1963</v>
      </c>
      <c r="F326" s="180" t="s">
        <v>2839</v>
      </c>
      <c r="G326" s="177" t="s">
        <v>2485</v>
      </c>
      <c r="H326" s="153">
        <v>80000</v>
      </c>
      <c r="I326" s="382">
        <v>140000</v>
      </c>
      <c r="J326" s="179" t="s">
        <v>2489</v>
      </c>
      <c r="K326" s="190">
        <v>2.5</v>
      </c>
      <c r="L326" s="313">
        <v>4000</v>
      </c>
      <c r="M326" s="331" t="s">
        <v>2833</v>
      </c>
      <c r="N326" s="155" t="s">
        <v>2483</v>
      </c>
    </row>
    <row r="327" spans="1:15" s="106" customFormat="1" ht="33" customHeight="1" x14ac:dyDescent="0.4">
      <c r="A327" s="155">
        <v>447</v>
      </c>
      <c r="B327" s="33" t="s">
        <v>1712</v>
      </c>
      <c r="C327" s="178" t="s">
        <v>2490</v>
      </c>
      <c r="D327" s="4" t="s">
        <v>200</v>
      </c>
      <c r="E327" s="5" t="s">
        <v>1605</v>
      </c>
      <c r="F327" s="36" t="s">
        <v>2493</v>
      </c>
      <c r="G327" s="34" t="s">
        <v>2491</v>
      </c>
      <c r="H327" s="108">
        <v>130000</v>
      </c>
      <c r="I327" s="382">
        <v>160000</v>
      </c>
      <c r="J327" s="179" t="s">
        <v>2494</v>
      </c>
      <c r="K327" s="38">
        <v>1.5</v>
      </c>
      <c r="L327" s="516">
        <v>4000</v>
      </c>
      <c r="M327" s="472" t="s">
        <v>2492</v>
      </c>
      <c r="N327" s="155" t="s">
        <v>2456</v>
      </c>
      <c r="O327" s="106" t="s">
        <v>1431</v>
      </c>
    </row>
    <row r="328" spans="1:15" s="106" customFormat="1" ht="33" customHeight="1" x14ac:dyDescent="0.4">
      <c r="A328" s="155">
        <v>188</v>
      </c>
      <c r="B328" s="33" t="s">
        <v>2502</v>
      </c>
      <c r="C328" s="178" t="s">
        <v>2501</v>
      </c>
      <c r="D328" s="4" t="s">
        <v>1547</v>
      </c>
      <c r="E328" s="5" t="s">
        <v>1785</v>
      </c>
      <c r="F328" s="36" t="s">
        <v>2314</v>
      </c>
      <c r="G328" s="34" t="s">
        <v>2315</v>
      </c>
      <c r="H328" s="108">
        <v>45000</v>
      </c>
      <c r="I328" s="382">
        <v>100000</v>
      </c>
      <c r="J328" s="179" t="s">
        <v>2500</v>
      </c>
      <c r="K328" s="38">
        <v>1</v>
      </c>
      <c r="L328" s="516">
        <v>3000</v>
      </c>
      <c r="M328" s="472"/>
      <c r="N328" s="5" t="s">
        <v>2669</v>
      </c>
    </row>
    <row r="329" spans="1:15" s="106" customFormat="1" ht="33" customHeight="1" x14ac:dyDescent="0.4">
      <c r="A329" s="155">
        <v>455</v>
      </c>
      <c r="B329" s="33" t="s">
        <v>1712</v>
      </c>
      <c r="C329" s="178" t="s">
        <v>2517</v>
      </c>
      <c r="D329" s="4" t="s">
        <v>200</v>
      </c>
      <c r="E329" s="5" t="s">
        <v>1605</v>
      </c>
      <c r="F329" s="36" t="s">
        <v>2512</v>
      </c>
      <c r="G329" s="34" t="s">
        <v>2513</v>
      </c>
      <c r="H329" s="108">
        <v>130000</v>
      </c>
      <c r="I329" s="382">
        <v>190476</v>
      </c>
      <c r="J329" s="179" t="s">
        <v>2514</v>
      </c>
      <c r="K329" s="38">
        <v>1.8</v>
      </c>
      <c r="L329" s="516">
        <v>2500</v>
      </c>
      <c r="M329" s="472" t="s">
        <v>2515</v>
      </c>
      <c r="N329" s="155" t="s">
        <v>2456</v>
      </c>
      <c r="O329" s="106" t="s">
        <v>2516</v>
      </c>
    </row>
    <row r="330" spans="1:15" s="106" customFormat="1" ht="33" customHeight="1" x14ac:dyDescent="0.4">
      <c r="A330" s="155">
        <v>460</v>
      </c>
      <c r="B330" s="33" t="s">
        <v>1712</v>
      </c>
      <c r="C330" s="178" t="s">
        <v>2528</v>
      </c>
      <c r="D330" s="4" t="s">
        <v>200</v>
      </c>
      <c r="E330" s="5" t="s">
        <v>1605</v>
      </c>
      <c r="F330" s="36" t="s">
        <v>2524</v>
      </c>
      <c r="G330" s="34" t="s">
        <v>2525</v>
      </c>
      <c r="H330" s="108">
        <v>110000</v>
      </c>
      <c r="I330" s="382">
        <v>190000</v>
      </c>
      <c r="J330" s="179" t="s">
        <v>2527</v>
      </c>
      <c r="K330" s="38">
        <v>1.8</v>
      </c>
      <c r="L330" s="516">
        <v>3000</v>
      </c>
      <c r="M330" s="472" t="s">
        <v>2526</v>
      </c>
      <c r="N330" s="155" t="s">
        <v>2456</v>
      </c>
      <c r="O330" s="106" t="s">
        <v>1316</v>
      </c>
    </row>
    <row r="331" spans="1:15" s="106" customFormat="1" ht="33" customHeight="1" x14ac:dyDescent="0.4">
      <c r="A331" s="155">
        <v>446</v>
      </c>
      <c r="B331" s="33" t="s">
        <v>1712</v>
      </c>
      <c r="C331" s="178" t="s">
        <v>2534</v>
      </c>
      <c r="D331" s="4" t="s">
        <v>200</v>
      </c>
      <c r="E331" s="5" t="s">
        <v>1605</v>
      </c>
      <c r="F331" s="36" t="s">
        <v>2531</v>
      </c>
      <c r="G331" s="34" t="s">
        <v>2491</v>
      </c>
      <c r="H331" s="108">
        <v>100000</v>
      </c>
      <c r="I331" s="382">
        <v>180000</v>
      </c>
      <c r="J331" s="179" t="s">
        <v>2533</v>
      </c>
      <c r="K331" s="38">
        <v>1.3</v>
      </c>
      <c r="L331" s="516">
        <v>4000</v>
      </c>
      <c r="M331" s="472" t="s">
        <v>2532</v>
      </c>
      <c r="N331" s="155" t="s">
        <v>2456</v>
      </c>
      <c r="O331" s="106" t="s">
        <v>1316</v>
      </c>
    </row>
    <row r="332" spans="1:15" s="106" customFormat="1" ht="33" customHeight="1" x14ac:dyDescent="0.4">
      <c r="A332" s="727">
        <v>396</v>
      </c>
      <c r="B332" s="728" t="s">
        <v>2072</v>
      </c>
      <c r="C332" s="738" t="s">
        <v>2551</v>
      </c>
      <c r="D332" s="729" t="s">
        <v>2547</v>
      </c>
      <c r="E332" s="727" t="s">
        <v>2548</v>
      </c>
      <c r="F332" s="730" t="s">
        <v>2549</v>
      </c>
      <c r="G332" s="731" t="s">
        <v>2550</v>
      </c>
      <c r="H332" s="732">
        <v>10000</v>
      </c>
      <c r="I332" s="739">
        <v>120000</v>
      </c>
      <c r="J332" s="740" t="s">
        <v>2546</v>
      </c>
      <c r="K332" s="733">
        <v>1.25</v>
      </c>
      <c r="L332" s="734">
        <v>5000</v>
      </c>
      <c r="M332" s="741" t="s">
        <v>2552</v>
      </c>
      <c r="N332" s="727" t="s">
        <v>2167</v>
      </c>
    </row>
    <row r="333" spans="1:15" s="106" customFormat="1" ht="33" customHeight="1" x14ac:dyDescent="0.4">
      <c r="A333" s="155">
        <v>450</v>
      </c>
      <c r="B333" s="33" t="s">
        <v>1712</v>
      </c>
      <c r="C333" s="178" t="s">
        <v>2558</v>
      </c>
      <c r="D333" s="4" t="s">
        <v>200</v>
      </c>
      <c r="E333" s="5" t="s">
        <v>1605</v>
      </c>
      <c r="F333" s="36" t="s">
        <v>2559</v>
      </c>
      <c r="G333" s="34" t="s">
        <v>2555</v>
      </c>
      <c r="H333" s="108">
        <v>130000</v>
      </c>
      <c r="I333" s="382">
        <v>247619</v>
      </c>
      <c r="J333" s="179" t="s">
        <v>2556</v>
      </c>
      <c r="K333" s="38">
        <v>1.5</v>
      </c>
      <c r="L333" s="516">
        <v>4300</v>
      </c>
      <c r="M333" s="472" t="s">
        <v>2557</v>
      </c>
      <c r="N333" s="155" t="s">
        <v>2456</v>
      </c>
      <c r="O333" s="106" t="s">
        <v>2580</v>
      </c>
    </row>
    <row r="334" spans="1:15" s="106" customFormat="1" ht="33" customHeight="1" x14ac:dyDescent="0.4">
      <c r="A334" s="155">
        <v>448</v>
      </c>
      <c r="B334" s="33" t="s">
        <v>1712</v>
      </c>
      <c r="C334" s="178" t="s">
        <v>2558</v>
      </c>
      <c r="D334" s="4" t="s">
        <v>200</v>
      </c>
      <c r="E334" s="5" t="s">
        <v>1605</v>
      </c>
      <c r="F334" s="36" t="s">
        <v>2560</v>
      </c>
      <c r="G334" s="34" t="s">
        <v>2561</v>
      </c>
      <c r="H334" s="108">
        <v>100000</v>
      </c>
      <c r="I334" s="382">
        <v>247619</v>
      </c>
      <c r="J334" s="179" t="s">
        <v>2563</v>
      </c>
      <c r="K334" s="38">
        <v>1.5</v>
      </c>
      <c r="L334" s="516">
        <v>3000</v>
      </c>
      <c r="M334" s="472" t="s">
        <v>2562</v>
      </c>
      <c r="N334" s="155" t="s">
        <v>2456</v>
      </c>
      <c r="O334" s="106" t="s">
        <v>2580</v>
      </c>
    </row>
    <row r="335" spans="1:15" s="106" customFormat="1" ht="33" customHeight="1" x14ac:dyDescent="0.4">
      <c r="A335" s="155">
        <v>423</v>
      </c>
      <c r="B335" s="33" t="s">
        <v>1712</v>
      </c>
      <c r="C335" s="178" t="s">
        <v>2578</v>
      </c>
      <c r="D335" s="4" t="s">
        <v>200</v>
      </c>
      <c r="E335" s="5" t="s">
        <v>1785</v>
      </c>
      <c r="F335" s="36" t="s">
        <v>2576</v>
      </c>
      <c r="G335" s="34" t="s">
        <v>2577</v>
      </c>
      <c r="H335" s="108">
        <v>80000</v>
      </c>
      <c r="I335" s="382">
        <v>123800</v>
      </c>
      <c r="J335" s="179" t="s">
        <v>2575</v>
      </c>
      <c r="K335" s="38">
        <v>1</v>
      </c>
      <c r="L335" s="516">
        <v>3000</v>
      </c>
      <c r="M335" s="472" t="s">
        <v>2579</v>
      </c>
      <c r="N335" s="155" t="s">
        <v>2456</v>
      </c>
      <c r="O335" s="106" t="s">
        <v>2662</v>
      </c>
    </row>
    <row r="336" spans="1:15" s="106" customFormat="1" ht="33" customHeight="1" x14ac:dyDescent="0.4">
      <c r="A336" s="155">
        <v>474</v>
      </c>
      <c r="B336" s="33" t="s">
        <v>1712</v>
      </c>
      <c r="C336" s="178" t="s">
        <v>2583</v>
      </c>
      <c r="D336" s="4" t="s">
        <v>1867</v>
      </c>
      <c r="E336" s="5" t="s">
        <v>1963</v>
      </c>
      <c r="F336" s="36" t="s">
        <v>2581</v>
      </c>
      <c r="G336" s="34" t="s">
        <v>2582</v>
      </c>
      <c r="H336" s="108">
        <v>100000</v>
      </c>
      <c r="I336" s="382">
        <v>160000</v>
      </c>
      <c r="J336" s="179" t="s">
        <v>2584</v>
      </c>
      <c r="K336" s="38">
        <v>2</v>
      </c>
      <c r="L336" s="516">
        <v>3000</v>
      </c>
      <c r="M336" s="472"/>
      <c r="N336" s="155" t="s">
        <v>2456</v>
      </c>
      <c r="O336" s="106" t="s">
        <v>2580</v>
      </c>
    </row>
    <row r="337" spans="1:15" s="106" customFormat="1" ht="33" customHeight="1" x14ac:dyDescent="0.4">
      <c r="A337" s="155">
        <v>444</v>
      </c>
      <c r="B337" s="152" t="s">
        <v>1712</v>
      </c>
      <c r="C337" s="178" t="s">
        <v>2592</v>
      </c>
      <c r="D337" s="4" t="s">
        <v>200</v>
      </c>
      <c r="E337" s="5" t="s">
        <v>1605</v>
      </c>
      <c r="F337" s="36" t="s">
        <v>2588</v>
      </c>
      <c r="G337" s="34" t="s">
        <v>2589</v>
      </c>
      <c r="H337" s="108">
        <v>80000</v>
      </c>
      <c r="I337" s="382">
        <v>100000</v>
      </c>
      <c r="J337" s="179" t="s">
        <v>2590</v>
      </c>
      <c r="K337" s="38">
        <v>0.9</v>
      </c>
      <c r="L337" s="516">
        <v>3000</v>
      </c>
      <c r="M337" s="472" t="s">
        <v>2591</v>
      </c>
      <c r="N337" s="155" t="s">
        <v>2456</v>
      </c>
      <c r="O337" s="106" t="s">
        <v>2429</v>
      </c>
    </row>
    <row r="338" spans="1:15" s="106" customFormat="1" ht="33" customHeight="1" x14ac:dyDescent="0.4">
      <c r="A338" s="155">
        <v>453</v>
      </c>
      <c r="B338" s="33" t="s">
        <v>1712</v>
      </c>
      <c r="C338" s="178" t="s">
        <v>2597</v>
      </c>
      <c r="D338" s="4" t="s">
        <v>200</v>
      </c>
      <c r="E338" s="5" t="s">
        <v>1963</v>
      </c>
      <c r="F338" s="36" t="s">
        <v>2594</v>
      </c>
      <c r="G338" s="34" t="s">
        <v>2470</v>
      </c>
      <c r="H338" s="108">
        <v>70000</v>
      </c>
      <c r="I338" s="382">
        <v>110000</v>
      </c>
      <c r="J338" s="179" t="s">
        <v>2596</v>
      </c>
      <c r="K338" s="38">
        <v>1.5</v>
      </c>
      <c r="L338" s="516">
        <v>4000</v>
      </c>
      <c r="M338" s="472" t="s">
        <v>2595</v>
      </c>
      <c r="N338" s="155" t="s">
        <v>2456</v>
      </c>
      <c r="O338" s="106" t="s">
        <v>2429</v>
      </c>
    </row>
    <row r="339" spans="1:15" s="106" customFormat="1" ht="33" customHeight="1" x14ac:dyDescent="0.4">
      <c r="A339" s="155">
        <v>457</v>
      </c>
      <c r="B339" s="33" t="s">
        <v>1712</v>
      </c>
      <c r="C339" s="178" t="s">
        <v>2600</v>
      </c>
      <c r="D339" s="4" t="s">
        <v>200</v>
      </c>
      <c r="E339" s="5" t="s">
        <v>1605</v>
      </c>
      <c r="F339" s="36" t="s">
        <v>2598</v>
      </c>
      <c r="G339" s="34" t="s">
        <v>2525</v>
      </c>
      <c r="H339" s="108">
        <v>100000</v>
      </c>
      <c r="I339" s="382">
        <v>180952</v>
      </c>
      <c r="J339" s="179" t="s">
        <v>2596</v>
      </c>
      <c r="K339" s="38">
        <v>1.5</v>
      </c>
      <c r="L339" s="516">
        <v>4000</v>
      </c>
      <c r="M339" s="472" t="s">
        <v>2599</v>
      </c>
      <c r="N339" s="155" t="s">
        <v>2456</v>
      </c>
      <c r="O339" s="106" t="s">
        <v>2429</v>
      </c>
    </row>
    <row r="340" spans="1:15" s="106" customFormat="1" ht="33" customHeight="1" x14ac:dyDescent="0.4">
      <c r="A340" s="155">
        <v>466</v>
      </c>
      <c r="B340" s="33" t="s">
        <v>1712</v>
      </c>
      <c r="C340" s="178" t="s">
        <v>2593</v>
      </c>
      <c r="D340" s="4" t="s">
        <v>200</v>
      </c>
      <c r="E340" s="5" t="s">
        <v>1605</v>
      </c>
      <c r="F340" s="36" t="s">
        <v>2630</v>
      </c>
      <c r="G340" s="34" t="s">
        <v>2601</v>
      </c>
      <c r="H340" s="108">
        <v>90000</v>
      </c>
      <c r="I340" s="382">
        <v>230000</v>
      </c>
      <c r="J340" s="179" t="s">
        <v>2596</v>
      </c>
      <c r="K340" s="38">
        <v>2.5</v>
      </c>
      <c r="L340" s="516">
        <v>4300</v>
      </c>
      <c r="M340" s="472" t="s">
        <v>2602</v>
      </c>
      <c r="N340" s="155" t="s">
        <v>2456</v>
      </c>
      <c r="O340" s="106" t="s">
        <v>2429</v>
      </c>
    </row>
    <row r="341" spans="1:15" s="106" customFormat="1" ht="33" customHeight="1" x14ac:dyDescent="0.4">
      <c r="A341" s="155">
        <v>461</v>
      </c>
      <c r="B341" s="33" t="s">
        <v>1712</v>
      </c>
      <c r="C341" s="178" t="s">
        <v>2606</v>
      </c>
      <c r="D341" s="4" t="s">
        <v>1547</v>
      </c>
      <c r="E341" s="5" t="s">
        <v>1605</v>
      </c>
      <c r="F341" s="36" t="s">
        <v>2603</v>
      </c>
      <c r="G341" s="34" t="s">
        <v>2513</v>
      </c>
      <c r="H341" s="108">
        <v>160000</v>
      </c>
      <c r="I341" s="382">
        <v>220000</v>
      </c>
      <c r="J341" s="179" t="s">
        <v>2604</v>
      </c>
      <c r="K341" s="38">
        <v>1.8</v>
      </c>
      <c r="L341" s="516">
        <v>4300</v>
      </c>
      <c r="M341" s="472" t="s">
        <v>2605</v>
      </c>
      <c r="N341" s="155" t="s">
        <v>2456</v>
      </c>
      <c r="O341" s="106" t="s">
        <v>2429</v>
      </c>
    </row>
    <row r="342" spans="1:15" s="106" customFormat="1" ht="33" customHeight="1" x14ac:dyDescent="0.4">
      <c r="A342" s="155">
        <v>443</v>
      </c>
      <c r="B342" s="33" t="s">
        <v>1712</v>
      </c>
      <c r="C342" s="178" t="s">
        <v>3047</v>
      </c>
      <c r="D342" s="4" t="s">
        <v>200</v>
      </c>
      <c r="E342" s="5" t="s">
        <v>201</v>
      </c>
      <c r="F342" s="36" t="s">
        <v>3044</v>
      </c>
      <c r="G342" s="34" t="s">
        <v>3045</v>
      </c>
      <c r="H342" s="108">
        <v>100000</v>
      </c>
      <c r="I342" s="382">
        <v>425000</v>
      </c>
      <c r="J342" s="179" t="s">
        <v>3048</v>
      </c>
      <c r="K342" s="38">
        <v>1</v>
      </c>
      <c r="L342" s="516">
        <v>4500</v>
      </c>
      <c r="M342" s="472" t="s">
        <v>3046</v>
      </c>
      <c r="N342" s="155" t="s">
        <v>1322</v>
      </c>
      <c r="O342" s="106" t="s">
        <v>2429</v>
      </c>
    </row>
    <row r="343" spans="1:15" s="106" customFormat="1" ht="33" customHeight="1" x14ac:dyDescent="0.4">
      <c r="A343" s="155">
        <v>475</v>
      </c>
      <c r="B343" s="33" t="s">
        <v>1712</v>
      </c>
      <c r="C343" s="178" t="s">
        <v>2619</v>
      </c>
      <c r="D343" s="4" t="s">
        <v>200</v>
      </c>
      <c r="E343" s="5" t="s">
        <v>1605</v>
      </c>
      <c r="F343" s="36" t="s">
        <v>2617</v>
      </c>
      <c r="G343" s="34" t="s">
        <v>2618</v>
      </c>
      <c r="H343" s="108">
        <v>130000</v>
      </c>
      <c r="I343" s="382">
        <v>350000</v>
      </c>
      <c r="J343" s="179" t="s">
        <v>2616</v>
      </c>
      <c r="K343" s="38">
        <v>1.8</v>
      </c>
      <c r="L343" s="516">
        <v>5500</v>
      </c>
      <c r="M343" s="472" t="s">
        <v>2620</v>
      </c>
      <c r="N343" s="155" t="s">
        <v>2456</v>
      </c>
      <c r="O343" s="106" t="s">
        <v>2429</v>
      </c>
    </row>
    <row r="344" spans="1:15" s="106" customFormat="1" ht="33" customHeight="1" x14ac:dyDescent="0.4">
      <c r="A344" s="155">
        <v>478</v>
      </c>
      <c r="B344" s="33" t="s">
        <v>1712</v>
      </c>
      <c r="C344" s="178" t="s">
        <v>2629</v>
      </c>
      <c r="D344" s="4" t="s">
        <v>250</v>
      </c>
      <c r="E344" s="5" t="s">
        <v>1605</v>
      </c>
      <c r="F344" s="36" t="s">
        <v>2626</v>
      </c>
      <c r="G344" s="34" t="s">
        <v>2627</v>
      </c>
      <c r="H344" s="108">
        <v>110000</v>
      </c>
      <c r="I344" s="382">
        <v>220000</v>
      </c>
      <c r="J344" s="179" t="s">
        <v>2628</v>
      </c>
      <c r="K344" s="38">
        <v>1.8</v>
      </c>
      <c r="L344" s="516">
        <v>3000</v>
      </c>
      <c r="M344" s="472"/>
      <c r="N344" s="155" t="s">
        <v>2781</v>
      </c>
      <c r="O344" s="106" t="s">
        <v>2429</v>
      </c>
    </row>
    <row r="345" spans="1:15" s="106" customFormat="1" ht="33" customHeight="1" x14ac:dyDescent="0.4">
      <c r="A345" s="155">
        <v>438</v>
      </c>
      <c r="B345" s="33" t="s">
        <v>1712</v>
      </c>
      <c r="C345" s="178" t="s">
        <v>2639</v>
      </c>
      <c r="D345" s="4" t="s">
        <v>200</v>
      </c>
      <c r="E345" s="5" t="s">
        <v>1605</v>
      </c>
      <c r="F345" s="36" t="s">
        <v>2636</v>
      </c>
      <c r="G345" s="34" t="s">
        <v>2637</v>
      </c>
      <c r="H345" s="108">
        <v>50000</v>
      </c>
      <c r="I345" s="382">
        <v>180000</v>
      </c>
      <c r="J345" s="179" t="s">
        <v>2640</v>
      </c>
      <c r="K345" s="38">
        <v>1.5</v>
      </c>
      <c r="L345" s="516">
        <v>5300</v>
      </c>
      <c r="M345" s="472" t="s">
        <v>2638</v>
      </c>
      <c r="N345" s="155" t="s">
        <v>2456</v>
      </c>
      <c r="O345" s="106" t="s">
        <v>2429</v>
      </c>
    </row>
    <row r="346" spans="1:15" s="106" customFormat="1" ht="33" customHeight="1" x14ac:dyDescent="0.4">
      <c r="A346" s="155">
        <v>357</v>
      </c>
      <c r="B346" s="152" t="s">
        <v>1712</v>
      </c>
      <c r="C346" s="178" t="s">
        <v>2647</v>
      </c>
      <c r="D346" s="172" t="s">
        <v>200</v>
      </c>
      <c r="E346" s="155" t="s">
        <v>1605</v>
      </c>
      <c r="F346" s="180" t="s">
        <v>2649</v>
      </c>
      <c r="G346" s="177" t="s">
        <v>1807</v>
      </c>
      <c r="H346" s="153">
        <v>35000</v>
      </c>
      <c r="I346" s="382">
        <v>160000</v>
      </c>
      <c r="J346" s="179" t="s">
        <v>2648</v>
      </c>
      <c r="K346" s="190">
        <v>0.9</v>
      </c>
      <c r="L346" s="313">
        <v>3500</v>
      </c>
      <c r="M346" s="331">
        <v>2008</v>
      </c>
      <c r="N346" s="155" t="s">
        <v>2456</v>
      </c>
      <c r="O346" s="106" t="s">
        <v>2662</v>
      </c>
    </row>
    <row r="347" spans="1:15" s="106" customFormat="1" ht="33" customHeight="1" x14ac:dyDescent="0.4">
      <c r="A347" s="155">
        <v>473</v>
      </c>
      <c r="B347" s="33" t="s">
        <v>1712</v>
      </c>
      <c r="C347" s="178" t="s">
        <v>2655</v>
      </c>
      <c r="D347" s="4" t="s">
        <v>2178</v>
      </c>
      <c r="E347" s="5" t="s">
        <v>2652</v>
      </c>
      <c r="F347" s="180" t="s">
        <v>2572</v>
      </c>
      <c r="G347" s="34" t="s">
        <v>2653</v>
      </c>
      <c r="H347" s="108">
        <v>40000</v>
      </c>
      <c r="I347" s="382">
        <v>60000</v>
      </c>
      <c r="J347" s="179" t="s">
        <v>2654</v>
      </c>
      <c r="K347" s="38">
        <v>0.2</v>
      </c>
      <c r="L347" s="516">
        <v>3800</v>
      </c>
      <c r="M347" s="152">
        <v>2007.06</v>
      </c>
      <c r="N347" s="5" t="s">
        <v>2780</v>
      </c>
      <c r="O347" s="106" t="s">
        <v>2662</v>
      </c>
    </row>
    <row r="348" spans="1:15" s="106" customFormat="1" ht="33" customHeight="1" x14ac:dyDescent="0.4">
      <c r="A348" s="155">
        <v>485</v>
      </c>
      <c r="B348" s="33" t="s">
        <v>1712</v>
      </c>
      <c r="C348" s="178" t="s">
        <v>2639</v>
      </c>
      <c r="D348" s="4" t="s">
        <v>200</v>
      </c>
      <c r="E348" s="5" t="s">
        <v>1605</v>
      </c>
      <c r="F348" s="36" t="s">
        <v>2656</v>
      </c>
      <c r="G348" s="34" t="s">
        <v>2657</v>
      </c>
      <c r="H348" s="108">
        <v>130000</v>
      </c>
      <c r="I348" s="382">
        <v>210000</v>
      </c>
      <c r="J348" s="179" t="s">
        <v>2658</v>
      </c>
      <c r="K348" s="38">
        <v>1.5</v>
      </c>
      <c r="L348" s="516">
        <v>5500</v>
      </c>
      <c r="M348" s="472" t="s">
        <v>2659</v>
      </c>
      <c r="N348" s="155" t="s">
        <v>2781</v>
      </c>
      <c r="O348" s="106" t="s">
        <v>2662</v>
      </c>
    </row>
    <row r="349" spans="1:15" s="106" customFormat="1" ht="33" customHeight="1" x14ac:dyDescent="0.4">
      <c r="A349" s="155">
        <v>488</v>
      </c>
      <c r="B349" s="152" t="s">
        <v>2651</v>
      </c>
      <c r="C349" s="178" t="s">
        <v>2670</v>
      </c>
      <c r="D349" s="4" t="s">
        <v>250</v>
      </c>
      <c r="E349" s="5" t="s">
        <v>2709</v>
      </c>
      <c r="F349" s="36" t="s">
        <v>2708</v>
      </c>
      <c r="G349" s="34" t="s">
        <v>2667</v>
      </c>
      <c r="H349" s="108">
        <v>220000</v>
      </c>
      <c r="I349" s="382">
        <v>255000</v>
      </c>
      <c r="J349" s="179" t="s">
        <v>2668</v>
      </c>
      <c r="K349" s="38">
        <v>2</v>
      </c>
      <c r="L349" s="516">
        <v>3000</v>
      </c>
      <c r="M349" s="472">
        <v>2009.07</v>
      </c>
      <c r="N349" s="5" t="s">
        <v>2669</v>
      </c>
    </row>
    <row r="350" spans="1:15" s="106" customFormat="1" ht="33" customHeight="1" x14ac:dyDescent="0.4">
      <c r="A350" s="155">
        <v>456</v>
      </c>
      <c r="B350" s="152" t="s">
        <v>1197</v>
      </c>
      <c r="C350" s="178" t="s">
        <v>2673</v>
      </c>
      <c r="D350" s="4" t="s">
        <v>200</v>
      </c>
      <c r="E350" s="5" t="s">
        <v>1605</v>
      </c>
      <c r="F350" s="36" t="s">
        <v>2671</v>
      </c>
      <c r="G350" s="34" t="s">
        <v>2513</v>
      </c>
      <c r="H350" s="108">
        <v>120000</v>
      </c>
      <c r="I350" s="382">
        <v>195000</v>
      </c>
      <c r="J350" s="179" t="s">
        <v>2674</v>
      </c>
      <c r="K350" s="38">
        <v>1.5</v>
      </c>
      <c r="L350" s="516">
        <v>4000</v>
      </c>
      <c r="M350" s="472" t="s">
        <v>2672</v>
      </c>
      <c r="N350" s="155" t="s">
        <v>2456</v>
      </c>
      <c r="O350" s="106" t="s">
        <v>2699</v>
      </c>
    </row>
    <row r="351" spans="1:15" s="106" customFormat="1" ht="33" customHeight="1" x14ac:dyDescent="0.4">
      <c r="A351" s="155">
        <v>484</v>
      </c>
      <c r="B351" s="152" t="s">
        <v>1197</v>
      </c>
      <c r="C351" s="178" t="s">
        <v>2707</v>
      </c>
      <c r="D351" s="172" t="s">
        <v>200</v>
      </c>
      <c r="E351" s="155" t="s">
        <v>1605</v>
      </c>
      <c r="F351" s="180" t="s">
        <v>2633</v>
      </c>
      <c r="G351" s="177" t="s">
        <v>2635</v>
      </c>
      <c r="H351" s="153">
        <v>70000</v>
      </c>
      <c r="I351" s="382">
        <v>200000</v>
      </c>
      <c r="J351" s="179" t="s">
        <v>2706</v>
      </c>
      <c r="K351" s="190">
        <v>1.8</v>
      </c>
      <c r="L351" s="313">
        <v>4000</v>
      </c>
      <c r="M351" s="152" t="s">
        <v>2634</v>
      </c>
      <c r="N351" s="5" t="s">
        <v>1322</v>
      </c>
      <c r="O351" s="106" t="s">
        <v>1316</v>
      </c>
    </row>
    <row r="352" spans="1:15" s="106" customFormat="1" ht="33" customHeight="1" x14ac:dyDescent="0.4">
      <c r="A352" s="155">
        <v>422</v>
      </c>
      <c r="B352" s="152" t="s">
        <v>1712</v>
      </c>
      <c r="C352" s="178" t="s">
        <v>2712</v>
      </c>
      <c r="D352" s="172" t="s">
        <v>200</v>
      </c>
      <c r="E352" s="155" t="s">
        <v>1605</v>
      </c>
      <c r="F352" s="180" t="s">
        <v>2713</v>
      </c>
      <c r="G352" s="177" t="s">
        <v>2577</v>
      </c>
      <c r="H352" s="153">
        <v>90000</v>
      </c>
      <c r="I352" s="382">
        <v>145000</v>
      </c>
      <c r="J352" s="179" t="s">
        <v>2718</v>
      </c>
      <c r="K352" s="190">
        <v>2</v>
      </c>
      <c r="L352" s="313">
        <v>3500</v>
      </c>
      <c r="M352" s="152" t="s">
        <v>2346</v>
      </c>
      <c r="N352" s="155" t="s">
        <v>2456</v>
      </c>
      <c r="O352" s="106" t="s">
        <v>1316</v>
      </c>
    </row>
    <row r="353" spans="1:15" s="106" customFormat="1" ht="33" customHeight="1" x14ac:dyDescent="0.4">
      <c r="A353" s="155">
        <v>432</v>
      </c>
      <c r="B353" s="152" t="s">
        <v>1712</v>
      </c>
      <c r="C353" s="178" t="s">
        <v>2719</v>
      </c>
      <c r="D353" s="172" t="s">
        <v>1547</v>
      </c>
      <c r="E353" s="155" t="s">
        <v>1605</v>
      </c>
      <c r="F353" s="180" t="s">
        <v>2720</v>
      </c>
      <c r="G353" s="177" t="s">
        <v>2422</v>
      </c>
      <c r="H353" s="153">
        <v>90000</v>
      </c>
      <c r="I353" s="382">
        <v>145000</v>
      </c>
      <c r="J353" s="179" t="s">
        <v>2718</v>
      </c>
      <c r="K353" s="190">
        <v>1.8</v>
      </c>
      <c r="L353" s="313">
        <v>3000</v>
      </c>
      <c r="M353" s="331" t="s">
        <v>2721</v>
      </c>
      <c r="N353" s="155" t="s">
        <v>815</v>
      </c>
      <c r="O353" s="106" t="s">
        <v>1316</v>
      </c>
    </row>
    <row r="354" spans="1:15" s="106" customFormat="1" ht="33" customHeight="1" x14ac:dyDescent="0.4">
      <c r="A354" s="155">
        <v>428</v>
      </c>
      <c r="B354" s="152" t="s">
        <v>1712</v>
      </c>
      <c r="C354" s="178" t="s">
        <v>2810</v>
      </c>
      <c r="D354" s="4" t="s">
        <v>200</v>
      </c>
      <c r="E354" s="5" t="s">
        <v>1691</v>
      </c>
      <c r="F354" s="36" t="s">
        <v>2726</v>
      </c>
      <c r="G354" s="34" t="s">
        <v>2727</v>
      </c>
      <c r="H354" s="108">
        <v>50000</v>
      </c>
      <c r="I354" s="382">
        <v>115000</v>
      </c>
      <c r="J354" s="179" t="s">
        <v>2730</v>
      </c>
      <c r="K354" s="38">
        <v>1.5</v>
      </c>
      <c r="L354" s="516">
        <v>4030</v>
      </c>
      <c r="M354" s="472" t="s">
        <v>2728</v>
      </c>
      <c r="N354" s="155" t="s">
        <v>815</v>
      </c>
      <c r="O354" s="106" t="s">
        <v>1316</v>
      </c>
    </row>
    <row r="355" spans="1:15" s="106" customFormat="1" ht="33" customHeight="1" x14ac:dyDescent="0.4">
      <c r="A355" s="155">
        <v>495</v>
      </c>
      <c r="B355" s="152" t="s">
        <v>1712</v>
      </c>
      <c r="C355" s="563" t="s">
        <v>2751</v>
      </c>
      <c r="D355" s="4" t="s">
        <v>200</v>
      </c>
      <c r="E355" s="5" t="s">
        <v>1605</v>
      </c>
      <c r="F355" s="36" t="s">
        <v>2734</v>
      </c>
      <c r="G355" s="34" t="s">
        <v>2735</v>
      </c>
      <c r="H355" s="108">
        <v>110000</v>
      </c>
      <c r="I355" s="382">
        <v>230000</v>
      </c>
      <c r="J355" s="179" t="s">
        <v>2736</v>
      </c>
      <c r="K355" s="38">
        <v>1.3</v>
      </c>
      <c r="L355" s="516">
        <v>4500</v>
      </c>
      <c r="M355" s="33" t="s">
        <v>2711</v>
      </c>
      <c r="N355" s="155" t="s">
        <v>2781</v>
      </c>
      <c r="O355" s="106" t="s">
        <v>1316</v>
      </c>
    </row>
    <row r="356" spans="1:15" s="106" customFormat="1" ht="33" customHeight="1" x14ac:dyDescent="0.4">
      <c r="A356" s="155">
        <v>476</v>
      </c>
      <c r="B356" s="152" t="s">
        <v>1712</v>
      </c>
      <c r="C356" s="178" t="s">
        <v>2745</v>
      </c>
      <c r="D356" s="4" t="s">
        <v>1547</v>
      </c>
      <c r="E356" s="5" t="s">
        <v>1605</v>
      </c>
      <c r="F356" s="36" t="s">
        <v>2742</v>
      </c>
      <c r="G356" s="34" t="s">
        <v>2618</v>
      </c>
      <c r="H356" s="108">
        <v>60000</v>
      </c>
      <c r="I356" s="382">
        <v>50000</v>
      </c>
      <c r="J356" s="179" t="s">
        <v>2744</v>
      </c>
      <c r="K356" s="38">
        <v>0.9</v>
      </c>
      <c r="L356" s="516">
        <v>3000</v>
      </c>
      <c r="M356" s="472" t="s">
        <v>2743</v>
      </c>
      <c r="N356" s="155" t="s">
        <v>2781</v>
      </c>
      <c r="O356" s="106" t="s">
        <v>1316</v>
      </c>
    </row>
    <row r="357" spans="1:15" s="106" customFormat="1" ht="33" customHeight="1" x14ac:dyDescent="0.4">
      <c r="A357" s="155">
        <v>493</v>
      </c>
      <c r="B357" s="152" t="s">
        <v>1712</v>
      </c>
      <c r="C357" s="178" t="s">
        <v>2749</v>
      </c>
      <c r="D357" s="4" t="s">
        <v>200</v>
      </c>
      <c r="E357" s="5" t="s">
        <v>1605</v>
      </c>
      <c r="F357" s="36" t="s">
        <v>2748</v>
      </c>
      <c r="G357" s="34" t="s">
        <v>2735</v>
      </c>
      <c r="H357" s="108">
        <v>100000</v>
      </c>
      <c r="I357" s="382">
        <v>210000</v>
      </c>
      <c r="J357" s="179" t="s">
        <v>2750</v>
      </c>
      <c r="K357" s="38">
        <v>1.5</v>
      </c>
      <c r="L357" s="516">
        <v>4000</v>
      </c>
      <c r="M357" s="33" t="s">
        <v>2710</v>
      </c>
      <c r="N357" s="155" t="s">
        <v>2781</v>
      </c>
      <c r="O357" s="106" t="s">
        <v>1316</v>
      </c>
    </row>
    <row r="358" spans="1:15" s="106" customFormat="1" ht="33" customHeight="1" x14ac:dyDescent="0.4">
      <c r="A358" s="155">
        <v>504</v>
      </c>
      <c r="B358" s="152" t="s">
        <v>1712</v>
      </c>
      <c r="C358" s="178" t="s">
        <v>2753</v>
      </c>
      <c r="D358" s="4" t="s">
        <v>2178</v>
      </c>
      <c r="E358" s="5" t="s">
        <v>2652</v>
      </c>
      <c r="F358" s="36" t="s">
        <v>2752</v>
      </c>
      <c r="G358" s="34">
        <v>45533</v>
      </c>
      <c r="H358" s="108">
        <v>110000</v>
      </c>
      <c r="I358" s="382">
        <v>145000</v>
      </c>
      <c r="J358" s="179" t="s">
        <v>2754</v>
      </c>
      <c r="K358" s="616">
        <v>0.25</v>
      </c>
      <c r="L358" s="313">
        <v>7900</v>
      </c>
      <c r="M358" s="152" t="s">
        <v>2732</v>
      </c>
      <c r="N358" s="155" t="s">
        <v>3096</v>
      </c>
      <c r="O358" s="106" t="s">
        <v>1316</v>
      </c>
    </row>
    <row r="359" spans="1:15" s="106" customFormat="1" ht="33" customHeight="1" x14ac:dyDescent="0.4">
      <c r="A359" s="155">
        <v>501</v>
      </c>
      <c r="B359" s="152" t="s">
        <v>1712</v>
      </c>
      <c r="C359" s="178" t="s">
        <v>2761</v>
      </c>
      <c r="D359" s="4" t="s">
        <v>200</v>
      </c>
      <c r="E359" s="5" t="s">
        <v>1605</v>
      </c>
      <c r="F359" s="36" t="s">
        <v>2759</v>
      </c>
      <c r="G359" s="34" t="s">
        <v>2760</v>
      </c>
      <c r="H359" s="108">
        <v>100000</v>
      </c>
      <c r="I359" s="382">
        <v>190000</v>
      </c>
      <c r="J359" s="179" t="s">
        <v>2758</v>
      </c>
      <c r="K359" s="38">
        <v>1.5</v>
      </c>
      <c r="L359" s="516">
        <v>4500</v>
      </c>
      <c r="M359" s="33" t="s">
        <v>2729</v>
      </c>
      <c r="N359" s="155" t="s">
        <v>2781</v>
      </c>
      <c r="O359" s="106" t="s">
        <v>1316</v>
      </c>
    </row>
    <row r="360" spans="1:15" s="106" customFormat="1" ht="33" customHeight="1" x14ac:dyDescent="0.4">
      <c r="A360" s="155">
        <v>489</v>
      </c>
      <c r="B360" s="152" t="s">
        <v>1712</v>
      </c>
      <c r="C360" s="178" t="s">
        <v>2763</v>
      </c>
      <c r="D360" s="172" t="s">
        <v>2643</v>
      </c>
      <c r="E360" s="155" t="s">
        <v>2644</v>
      </c>
      <c r="F360" s="180" t="s">
        <v>2666</v>
      </c>
      <c r="G360" s="177" t="s">
        <v>2696</v>
      </c>
      <c r="H360" s="153">
        <v>120000</v>
      </c>
      <c r="I360" s="382">
        <v>180000</v>
      </c>
      <c r="J360" s="179" t="s">
        <v>2762</v>
      </c>
      <c r="K360" s="190">
        <v>2</v>
      </c>
      <c r="L360" s="313">
        <v>4500</v>
      </c>
      <c r="M360" s="152" t="s">
        <v>2650</v>
      </c>
      <c r="N360" s="155" t="s">
        <v>2781</v>
      </c>
      <c r="O360" s="106" t="s">
        <v>1316</v>
      </c>
    </row>
    <row r="361" spans="1:15" s="106" customFormat="1" ht="33" customHeight="1" x14ac:dyDescent="0.4">
      <c r="A361" s="155">
        <v>414</v>
      </c>
      <c r="B361" s="152" t="s">
        <v>1712</v>
      </c>
      <c r="C361" s="178" t="s">
        <v>2764</v>
      </c>
      <c r="D361" s="172" t="s">
        <v>11</v>
      </c>
      <c r="E361" s="155" t="s">
        <v>105</v>
      </c>
      <c r="F361" s="180" t="s">
        <v>2766</v>
      </c>
      <c r="G361" s="177" t="s">
        <v>2767</v>
      </c>
      <c r="H361" s="153">
        <v>100000</v>
      </c>
      <c r="I361" s="382">
        <v>160000</v>
      </c>
      <c r="J361" s="179" t="s">
        <v>2765</v>
      </c>
      <c r="K361" s="190">
        <v>1.3</v>
      </c>
      <c r="L361" s="313">
        <v>3000</v>
      </c>
      <c r="M361" s="331" t="s">
        <v>2768</v>
      </c>
      <c r="N361" s="155" t="s">
        <v>1322</v>
      </c>
      <c r="O361" s="106" t="s">
        <v>1316</v>
      </c>
    </row>
    <row r="362" spans="1:15" s="106" customFormat="1" ht="33" customHeight="1" x14ac:dyDescent="0.4">
      <c r="A362" s="155">
        <v>451</v>
      </c>
      <c r="B362" s="152" t="s">
        <v>2459</v>
      </c>
      <c r="C362" s="178" t="s">
        <v>2774</v>
      </c>
      <c r="D362" s="4" t="s">
        <v>200</v>
      </c>
      <c r="E362" s="5" t="s">
        <v>1605</v>
      </c>
      <c r="F362" s="36" t="s">
        <v>2772</v>
      </c>
      <c r="G362" s="34" t="s">
        <v>2555</v>
      </c>
      <c r="H362" s="108">
        <v>130000</v>
      </c>
      <c r="I362" s="382">
        <v>190000</v>
      </c>
      <c r="J362" s="179" t="s">
        <v>2773</v>
      </c>
      <c r="K362" s="38">
        <v>1.5</v>
      </c>
      <c r="L362" s="516">
        <v>4000</v>
      </c>
      <c r="M362" s="472" t="s">
        <v>2423</v>
      </c>
      <c r="N362" s="5" t="s">
        <v>1322</v>
      </c>
      <c r="O362" s="106" t="s">
        <v>1316</v>
      </c>
    </row>
    <row r="363" spans="1:15" s="106" customFormat="1" ht="33" customHeight="1" x14ac:dyDescent="0.4">
      <c r="A363" s="155">
        <v>437</v>
      </c>
      <c r="B363" s="33" t="s">
        <v>1712</v>
      </c>
      <c r="C363" s="178" t="s">
        <v>2779</v>
      </c>
      <c r="D363" s="4" t="s">
        <v>200</v>
      </c>
      <c r="E363" s="5" t="s">
        <v>1605</v>
      </c>
      <c r="F363" s="36" t="s">
        <v>2777</v>
      </c>
      <c r="G363" s="34" t="s">
        <v>2637</v>
      </c>
      <c r="H363" s="108">
        <v>120000</v>
      </c>
      <c r="I363" s="382">
        <v>170000</v>
      </c>
      <c r="J363" s="179" t="s">
        <v>2776</v>
      </c>
      <c r="K363" s="38">
        <v>1.5</v>
      </c>
      <c r="L363" s="516">
        <v>4000</v>
      </c>
      <c r="M363" s="472" t="s">
        <v>2778</v>
      </c>
      <c r="N363" s="5" t="s">
        <v>1322</v>
      </c>
      <c r="O363" s="106" t="s">
        <v>1316</v>
      </c>
    </row>
    <row r="364" spans="1:15" s="106" customFormat="1" ht="33" customHeight="1" x14ac:dyDescent="0.4">
      <c r="A364" s="155">
        <v>497</v>
      </c>
      <c r="B364" s="33" t="s">
        <v>1712</v>
      </c>
      <c r="C364" s="563" t="s">
        <v>3049</v>
      </c>
      <c r="D364" s="4" t="s">
        <v>200</v>
      </c>
      <c r="E364" s="5" t="s">
        <v>1605</v>
      </c>
      <c r="F364" s="36" t="s">
        <v>2782</v>
      </c>
      <c r="G364" s="34" t="s">
        <v>2783</v>
      </c>
      <c r="H364" s="108">
        <v>80000</v>
      </c>
      <c r="I364" s="382">
        <v>150000</v>
      </c>
      <c r="J364" s="179" t="s">
        <v>2785</v>
      </c>
      <c r="K364" s="38">
        <v>1.4</v>
      </c>
      <c r="L364" s="516">
        <v>4100</v>
      </c>
      <c r="M364" s="472" t="s">
        <v>2784</v>
      </c>
      <c r="N364" s="155" t="s">
        <v>2781</v>
      </c>
      <c r="O364" s="106" t="s">
        <v>1316</v>
      </c>
    </row>
    <row r="365" spans="1:15" s="106" customFormat="1" ht="33" customHeight="1" x14ac:dyDescent="0.4">
      <c r="A365" s="155">
        <v>500</v>
      </c>
      <c r="B365" s="33" t="s">
        <v>1712</v>
      </c>
      <c r="C365" s="178" t="s">
        <v>2787</v>
      </c>
      <c r="D365" s="4" t="s">
        <v>200</v>
      </c>
      <c r="E365" s="5" t="s">
        <v>1605</v>
      </c>
      <c r="F365" s="36" t="s">
        <v>2788</v>
      </c>
      <c r="G365" s="34" t="s">
        <v>2725</v>
      </c>
      <c r="H365" s="108">
        <v>110000</v>
      </c>
      <c r="I365" s="382">
        <v>180000</v>
      </c>
      <c r="J365" s="179" t="s">
        <v>2789</v>
      </c>
      <c r="K365" s="38">
        <v>1.5</v>
      </c>
      <c r="L365" s="516">
        <v>4000</v>
      </c>
      <c r="M365" s="472" t="s">
        <v>2790</v>
      </c>
      <c r="N365" s="155" t="s">
        <v>2781</v>
      </c>
      <c r="O365" s="106" t="s">
        <v>1316</v>
      </c>
    </row>
    <row r="366" spans="1:15" s="106" customFormat="1" ht="33" customHeight="1" x14ac:dyDescent="0.4">
      <c r="A366" s="155">
        <v>477</v>
      </c>
      <c r="B366" s="152" t="s">
        <v>1197</v>
      </c>
      <c r="C366" s="178" t="s">
        <v>2791</v>
      </c>
      <c r="D366" s="4" t="s">
        <v>200</v>
      </c>
      <c r="E366" s="5" t="s">
        <v>1605</v>
      </c>
      <c r="F366" s="36" t="s">
        <v>2792</v>
      </c>
      <c r="G366" s="34" t="s">
        <v>2793</v>
      </c>
      <c r="H366" s="108">
        <v>85000</v>
      </c>
      <c r="I366" s="382">
        <v>160000</v>
      </c>
      <c r="J366" s="179" t="s">
        <v>2794</v>
      </c>
      <c r="K366" s="190">
        <v>1.5</v>
      </c>
      <c r="L366" s="313">
        <v>3000</v>
      </c>
      <c r="M366" s="152" t="s">
        <v>2587</v>
      </c>
      <c r="N366" s="155" t="s">
        <v>815</v>
      </c>
      <c r="O366" s="106" t="s">
        <v>1316</v>
      </c>
    </row>
    <row r="367" spans="1:15" s="106" customFormat="1" ht="33" customHeight="1" x14ac:dyDescent="0.4">
      <c r="A367" s="155">
        <v>506</v>
      </c>
      <c r="B367" s="152" t="s">
        <v>1712</v>
      </c>
      <c r="C367" s="269" t="s">
        <v>2882</v>
      </c>
      <c r="D367" s="172" t="s">
        <v>200</v>
      </c>
      <c r="E367" s="155" t="s">
        <v>1605</v>
      </c>
      <c r="F367" s="36" t="s">
        <v>2738</v>
      </c>
      <c r="G367" s="34" t="s">
        <v>2755</v>
      </c>
      <c r="H367" s="153">
        <v>95000</v>
      </c>
      <c r="I367" s="382">
        <v>210000</v>
      </c>
      <c r="J367" s="179" t="s">
        <v>2794</v>
      </c>
      <c r="K367" s="38">
        <v>1.5</v>
      </c>
      <c r="L367" s="516">
        <v>5000</v>
      </c>
      <c r="M367" s="33" t="s">
        <v>2795</v>
      </c>
      <c r="N367" s="155" t="s">
        <v>2781</v>
      </c>
      <c r="O367" s="106" t="s">
        <v>1316</v>
      </c>
    </row>
    <row r="368" spans="1:15" s="106" customFormat="1" ht="33" customHeight="1" x14ac:dyDescent="0.4">
      <c r="A368" s="5">
        <v>309</v>
      </c>
      <c r="B368" s="33" t="s">
        <v>1197</v>
      </c>
      <c r="C368" s="178" t="s">
        <v>2796</v>
      </c>
      <c r="D368" s="4" t="s">
        <v>200</v>
      </c>
      <c r="E368" s="5" t="s">
        <v>1491</v>
      </c>
      <c r="F368" s="36" t="s">
        <v>1896</v>
      </c>
      <c r="G368" s="34" t="s">
        <v>1897</v>
      </c>
      <c r="H368" s="108">
        <v>50000</v>
      </c>
      <c r="I368" s="382">
        <v>140000</v>
      </c>
      <c r="J368" s="179" t="s">
        <v>2794</v>
      </c>
      <c r="K368" s="379">
        <v>1.3</v>
      </c>
      <c r="L368" s="82">
        <v>4730</v>
      </c>
      <c r="M368" s="654" t="s">
        <v>1899</v>
      </c>
      <c r="N368" s="155" t="s">
        <v>2781</v>
      </c>
      <c r="O368" s="106" t="s">
        <v>1316</v>
      </c>
    </row>
    <row r="369" spans="1:15" s="106" customFormat="1" ht="33" customHeight="1" x14ac:dyDescent="0.4">
      <c r="A369" s="155">
        <v>518</v>
      </c>
      <c r="B369" s="33" t="s">
        <v>1197</v>
      </c>
      <c r="C369" s="178" t="s">
        <v>2809</v>
      </c>
      <c r="D369" s="172" t="s">
        <v>200</v>
      </c>
      <c r="E369" s="155" t="s">
        <v>1605</v>
      </c>
      <c r="F369" s="36" t="s">
        <v>2837</v>
      </c>
      <c r="G369" s="34" t="s">
        <v>2797</v>
      </c>
      <c r="H369" s="108">
        <v>70000</v>
      </c>
      <c r="I369" s="382">
        <v>165000</v>
      </c>
      <c r="J369" s="179" t="s">
        <v>2807</v>
      </c>
      <c r="K369" s="38">
        <v>1.3</v>
      </c>
      <c r="L369" s="516">
        <v>4500</v>
      </c>
      <c r="M369" s="472" t="s">
        <v>2808</v>
      </c>
      <c r="N369" s="155" t="s">
        <v>2781</v>
      </c>
      <c r="O369" s="106" t="s">
        <v>1316</v>
      </c>
    </row>
    <row r="370" spans="1:15" s="106" customFormat="1" ht="33" customHeight="1" x14ac:dyDescent="0.4">
      <c r="A370" s="155">
        <v>449</v>
      </c>
      <c r="B370" s="33" t="s">
        <v>1712</v>
      </c>
      <c r="C370" s="178" t="s">
        <v>2832</v>
      </c>
      <c r="D370" s="4" t="s">
        <v>1547</v>
      </c>
      <c r="E370" s="5" t="s">
        <v>1605</v>
      </c>
      <c r="F370" s="36" t="s">
        <v>2811</v>
      </c>
      <c r="G370" s="34" t="s">
        <v>2812</v>
      </c>
      <c r="H370" s="108">
        <v>80000</v>
      </c>
      <c r="I370" s="382">
        <v>142857</v>
      </c>
      <c r="J370" s="179" t="s">
        <v>2814</v>
      </c>
      <c r="K370" s="38">
        <v>1.8</v>
      </c>
      <c r="L370" s="516">
        <v>3000</v>
      </c>
      <c r="M370" s="472" t="s">
        <v>2813</v>
      </c>
      <c r="N370" s="155" t="s">
        <v>2781</v>
      </c>
      <c r="O370" s="106" t="s">
        <v>1316</v>
      </c>
    </row>
    <row r="371" spans="1:15" s="106" customFormat="1" ht="33" customHeight="1" x14ac:dyDescent="0.4">
      <c r="A371" s="155">
        <v>513</v>
      </c>
      <c r="B371" s="33" t="s">
        <v>1712</v>
      </c>
      <c r="C371" s="178" t="s">
        <v>2851</v>
      </c>
      <c r="D371" s="4" t="s">
        <v>200</v>
      </c>
      <c r="E371" s="5" t="s">
        <v>1605</v>
      </c>
      <c r="F371" s="36" t="s">
        <v>2816</v>
      </c>
      <c r="G371" s="34" t="s">
        <v>2817</v>
      </c>
      <c r="H371" s="108">
        <v>115000</v>
      </c>
      <c r="I371" s="382">
        <v>350000</v>
      </c>
      <c r="J371" s="179" t="s">
        <v>2815</v>
      </c>
      <c r="K371" s="38">
        <v>1.5</v>
      </c>
      <c r="L371" s="516">
        <v>3500</v>
      </c>
      <c r="M371" s="472" t="s">
        <v>2818</v>
      </c>
      <c r="N371" s="155" t="s">
        <v>815</v>
      </c>
      <c r="O371" s="106" t="s">
        <v>1316</v>
      </c>
    </row>
    <row r="372" spans="1:15" s="106" customFormat="1" ht="33" customHeight="1" x14ac:dyDescent="0.4">
      <c r="A372" s="155">
        <v>494</v>
      </c>
      <c r="B372" s="33" t="s">
        <v>1712</v>
      </c>
      <c r="C372" s="178" t="s">
        <v>2819</v>
      </c>
      <c r="D372" s="4" t="s">
        <v>200</v>
      </c>
      <c r="E372" s="5" t="s">
        <v>1605</v>
      </c>
      <c r="F372" s="36" t="s">
        <v>2821</v>
      </c>
      <c r="G372" s="34" t="s">
        <v>2735</v>
      </c>
      <c r="H372" s="108">
        <v>100000</v>
      </c>
      <c r="I372" s="382">
        <v>160000</v>
      </c>
      <c r="J372" s="179" t="s">
        <v>2815</v>
      </c>
      <c r="K372" s="38">
        <v>1.5</v>
      </c>
      <c r="L372" s="516">
        <v>4000</v>
      </c>
      <c r="M372" s="472" t="s">
        <v>2820</v>
      </c>
      <c r="N372" s="155" t="s">
        <v>2781</v>
      </c>
      <c r="O372" s="106" t="s">
        <v>1316</v>
      </c>
    </row>
    <row r="373" spans="1:15" s="106" customFormat="1" ht="33" customHeight="1" x14ac:dyDescent="0.4">
      <c r="A373" s="155">
        <v>483</v>
      </c>
      <c r="B373" s="33" t="s">
        <v>1712</v>
      </c>
      <c r="C373" s="178" t="s">
        <v>2825</v>
      </c>
      <c r="D373" s="4" t="s">
        <v>200</v>
      </c>
      <c r="E373" s="5" t="s">
        <v>1605</v>
      </c>
      <c r="F373" s="36" t="s">
        <v>2822</v>
      </c>
      <c r="G373" s="34" t="s">
        <v>2823</v>
      </c>
      <c r="H373" s="108">
        <v>100000</v>
      </c>
      <c r="I373" s="382">
        <v>180952</v>
      </c>
      <c r="J373" s="179" t="s">
        <v>2826</v>
      </c>
      <c r="K373" s="38">
        <v>1.3</v>
      </c>
      <c r="L373" s="516">
        <v>3000</v>
      </c>
      <c r="M373" s="472" t="s">
        <v>2824</v>
      </c>
      <c r="N373" s="155" t="s">
        <v>815</v>
      </c>
      <c r="O373" s="106" t="s">
        <v>1316</v>
      </c>
    </row>
    <row r="374" spans="1:15" s="106" customFormat="1" ht="33" customHeight="1" x14ac:dyDescent="0.4">
      <c r="A374" s="155">
        <v>459</v>
      </c>
      <c r="B374" s="152" t="s">
        <v>1197</v>
      </c>
      <c r="C374" s="178" t="s">
        <v>2845</v>
      </c>
      <c r="D374" s="4" t="s">
        <v>200</v>
      </c>
      <c r="E374" s="5" t="s">
        <v>1605</v>
      </c>
      <c r="F374" s="36" t="s">
        <v>2841</v>
      </c>
      <c r="G374" s="34" t="s">
        <v>2513</v>
      </c>
      <c r="H374" s="108">
        <v>70000</v>
      </c>
      <c r="I374" s="382">
        <v>140000</v>
      </c>
      <c r="J374" s="179" t="s">
        <v>2842</v>
      </c>
      <c r="K374" s="38">
        <v>0.9</v>
      </c>
      <c r="L374" s="516">
        <v>3000</v>
      </c>
      <c r="M374" s="472" t="s">
        <v>2843</v>
      </c>
      <c r="N374" s="5" t="s">
        <v>1322</v>
      </c>
      <c r="O374" s="106" t="s">
        <v>2844</v>
      </c>
    </row>
    <row r="375" spans="1:15" s="106" customFormat="1" ht="33" customHeight="1" x14ac:dyDescent="0.4">
      <c r="A375" s="155">
        <v>521</v>
      </c>
      <c r="B375" s="33" t="s">
        <v>1712</v>
      </c>
      <c r="C375" s="178" t="s">
        <v>2849</v>
      </c>
      <c r="D375" s="4" t="s">
        <v>200</v>
      </c>
      <c r="E375" s="5" t="s">
        <v>1605</v>
      </c>
      <c r="F375" s="36" t="s">
        <v>2846</v>
      </c>
      <c r="G375" s="34" t="s">
        <v>2847</v>
      </c>
      <c r="H375" s="108">
        <v>85000</v>
      </c>
      <c r="I375" s="382">
        <v>480000</v>
      </c>
      <c r="J375" s="179" t="s">
        <v>2842</v>
      </c>
      <c r="K375" s="38">
        <v>1.3</v>
      </c>
      <c r="L375" s="516">
        <v>3000</v>
      </c>
      <c r="M375" s="472" t="s">
        <v>2848</v>
      </c>
      <c r="N375" s="5"/>
      <c r="O375" s="106" t="s">
        <v>2844</v>
      </c>
    </row>
    <row r="376" spans="1:15" s="106" customFormat="1" ht="33" customHeight="1" x14ac:dyDescent="0.4">
      <c r="A376" s="5">
        <v>523</v>
      </c>
      <c r="B376" s="152" t="s">
        <v>1197</v>
      </c>
      <c r="C376" s="178" t="s">
        <v>2862</v>
      </c>
      <c r="D376" s="172" t="s">
        <v>200</v>
      </c>
      <c r="E376" s="155" t="s">
        <v>2834</v>
      </c>
      <c r="F376" s="36" t="s">
        <v>2835</v>
      </c>
      <c r="G376" s="34" t="s">
        <v>2838</v>
      </c>
      <c r="H376" s="153">
        <v>70000</v>
      </c>
      <c r="I376" s="382">
        <v>163000</v>
      </c>
      <c r="J376" s="179" t="s">
        <v>2861</v>
      </c>
      <c r="K376" s="38">
        <v>1.3</v>
      </c>
      <c r="L376" s="516">
        <v>6000</v>
      </c>
      <c r="M376" s="33" t="s">
        <v>2836</v>
      </c>
      <c r="N376" s="5" t="s">
        <v>1322</v>
      </c>
      <c r="O376" s="106" t="s">
        <v>2844</v>
      </c>
    </row>
    <row r="377" spans="1:15" s="106" customFormat="1" ht="33" customHeight="1" x14ac:dyDescent="0.4">
      <c r="A377" s="155">
        <v>502</v>
      </c>
      <c r="B377" s="33" t="s">
        <v>1712</v>
      </c>
      <c r="C377" s="178" t="s">
        <v>2860</v>
      </c>
      <c r="D377" s="4" t="s">
        <v>250</v>
      </c>
      <c r="E377" s="5" t="s">
        <v>1737</v>
      </c>
      <c r="F377" s="36" t="s">
        <v>2859</v>
      </c>
      <c r="G377" s="34" t="s">
        <v>2855</v>
      </c>
      <c r="H377" s="108">
        <v>160000</v>
      </c>
      <c r="I377" s="382">
        <v>260000</v>
      </c>
      <c r="J377" s="179" t="s">
        <v>2856</v>
      </c>
      <c r="K377" s="38">
        <v>3</v>
      </c>
      <c r="L377" s="516">
        <v>3000</v>
      </c>
      <c r="M377" s="472">
        <v>1996</v>
      </c>
      <c r="N377" s="5" t="s">
        <v>1322</v>
      </c>
      <c r="O377" s="106" t="s">
        <v>2844</v>
      </c>
    </row>
    <row r="378" spans="1:15" s="106" customFormat="1" ht="33" customHeight="1" x14ac:dyDescent="0.4">
      <c r="A378" s="155">
        <v>503</v>
      </c>
      <c r="B378" s="33" t="s">
        <v>1712</v>
      </c>
      <c r="C378" s="178" t="s">
        <v>2858</v>
      </c>
      <c r="D378" s="4" t="s">
        <v>200</v>
      </c>
      <c r="E378" s="5" t="s">
        <v>201</v>
      </c>
      <c r="F378" s="36" t="s">
        <v>2854</v>
      </c>
      <c r="G378" s="34" t="s">
        <v>2855</v>
      </c>
      <c r="H378" s="108">
        <v>50000</v>
      </c>
      <c r="I378" s="382">
        <v>170000</v>
      </c>
      <c r="J378" s="179" t="s">
        <v>2856</v>
      </c>
      <c r="K378" s="38">
        <v>1.5</v>
      </c>
      <c r="L378" s="516">
        <v>3700</v>
      </c>
      <c r="M378" s="472" t="s">
        <v>2857</v>
      </c>
      <c r="N378" s="5" t="s">
        <v>1322</v>
      </c>
      <c r="O378" s="106" t="s">
        <v>2844</v>
      </c>
    </row>
    <row r="379" spans="1:15" s="106" customFormat="1" ht="33" customHeight="1" x14ac:dyDescent="0.4">
      <c r="A379" s="155">
        <v>471</v>
      </c>
      <c r="B379" s="33" t="s">
        <v>1712</v>
      </c>
      <c r="C379" s="178" t="s">
        <v>2867</v>
      </c>
      <c r="D379" s="4" t="s">
        <v>2178</v>
      </c>
      <c r="E379" s="5" t="s">
        <v>2652</v>
      </c>
      <c r="F379" s="36" t="s">
        <v>2863</v>
      </c>
      <c r="G379" s="34" t="s">
        <v>2653</v>
      </c>
      <c r="H379" s="108">
        <v>40000</v>
      </c>
      <c r="I379" s="382">
        <v>80000</v>
      </c>
      <c r="J379" s="179" t="s">
        <v>2866</v>
      </c>
      <c r="K379" s="38">
        <v>0.2</v>
      </c>
      <c r="L379" s="516">
        <v>3800</v>
      </c>
      <c r="M379" s="472">
        <v>2007.04</v>
      </c>
      <c r="N379" s="5" t="s">
        <v>2123</v>
      </c>
      <c r="O379" s="106" t="s">
        <v>2844</v>
      </c>
    </row>
    <row r="380" spans="1:15" s="106" customFormat="1" ht="33" customHeight="1" x14ac:dyDescent="0.4">
      <c r="A380" s="155">
        <v>472</v>
      </c>
      <c r="B380" s="33" t="s">
        <v>1712</v>
      </c>
      <c r="C380" s="178" t="s">
        <v>2867</v>
      </c>
      <c r="D380" s="4" t="s">
        <v>2178</v>
      </c>
      <c r="E380" s="5" t="s">
        <v>2652</v>
      </c>
      <c r="F380" s="36" t="s">
        <v>2864</v>
      </c>
      <c r="G380" s="34" t="s">
        <v>2653</v>
      </c>
      <c r="H380" s="108">
        <v>40000</v>
      </c>
      <c r="I380" s="382">
        <v>80000</v>
      </c>
      <c r="J380" s="179" t="s">
        <v>2865</v>
      </c>
      <c r="K380" s="38">
        <v>0.2</v>
      </c>
      <c r="L380" s="516">
        <v>3800</v>
      </c>
      <c r="M380" s="472" t="s">
        <v>2868</v>
      </c>
      <c r="N380" s="5" t="s">
        <v>2123</v>
      </c>
      <c r="O380" s="106" t="s">
        <v>2844</v>
      </c>
    </row>
    <row r="381" spans="1:15" s="106" customFormat="1" ht="33" customHeight="1" x14ac:dyDescent="0.4">
      <c r="A381" s="455">
        <v>507</v>
      </c>
      <c r="B381" s="541" t="s">
        <v>1712</v>
      </c>
      <c r="C381" s="572" t="s">
        <v>2873</v>
      </c>
      <c r="D381" s="513" t="s">
        <v>200</v>
      </c>
      <c r="E381" s="455" t="s">
        <v>1605</v>
      </c>
      <c r="F381" s="542" t="s">
        <v>2869</v>
      </c>
      <c r="G381" s="568" t="s">
        <v>2870</v>
      </c>
      <c r="H381" s="543">
        <v>80000</v>
      </c>
      <c r="I381" s="708">
        <v>70000</v>
      </c>
      <c r="J381" s="573" t="s">
        <v>2871</v>
      </c>
      <c r="K381" s="569">
        <v>1.3</v>
      </c>
      <c r="L381" s="570">
        <v>5000</v>
      </c>
      <c r="M381" s="651" t="s">
        <v>2872</v>
      </c>
      <c r="N381" s="5" t="s">
        <v>1322</v>
      </c>
      <c r="O381" s="106" t="s">
        <v>2844</v>
      </c>
    </row>
    <row r="382" spans="1:15" s="106" customFormat="1" ht="33" customHeight="1" x14ac:dyDescent="0.4">
      <c r="A382" s="155">
        <v>525</v>
      </c>
      <c r="B382" s="33" t="s">
        <v>1712</v>
      </c>
      <c r="C382" s="178" t="s">
        <v>2885</v>
      </c>
      <c r="D382" s="4" t="s">
        <v>200</v>
      </c>
      <c r="E382" s="5" t="s">
        <v>1605</v>
      </c>
      <c r="F382" s="36" t="s">
        <v>2887</v>
      </c>
      <c r="G382" s="34" t="s">
        <v>2883</v>
      </c>
      <c r="H382" s="108">
        <v>110000</v>
      </c>
      <c r="I382" s="382">
        <v>210000</v>
      </c>
      <c r="J382" s="179" t="s">
        <v>2884</v>
      </c>
      <c r="K382" s="38">
        <v>1.5</v>
      </c>
      <c r="L382" s="516">
        <v>5500</v>
      </c>
      <c r="M382" s="33" t="s">
        <v>2853</v>
      </c>
      <c r="N382" s="5"/>
      <c r="O382" s="106" t="s">
        <v>2844</v>
      </c>
    </row>
    <row r="383" spans="1:15" s="106" customFormat="1" ht="33" customHeight="1" x14ac:dyDescent="0.4">
      <c r="A383" s="155">
        <v>524</v>
      </c>
      <c r="B383" s="33" t="s">
        <v>1712</v>
      </c>
      <c r="C383" s="178" t="s">
        <v>2906</v>
      </c>
      <c r="D383" s="4" t="s">
        <v>200</v>
      </c>
      <c r="E383" s="5" t="s">
        <v>1605</v>
      </c>
      <c r="F383" s="36" t="s">
        <v>2902</v>
      </c>
      <c r="G383" s="34" t="s">
        <v>2904</v>
      </c>
      <c r="H383" s="108">
        <v>110000</v>
      </c>
      <c r="I383" s="382">
        <v>200000</v>
      </c>
      <c r="J383" s="179" t="s">
        <v>2903</v>
      </c>
      <c r="K383" s="38">
        <v>0.9</v>
      </c>
      <c r="L383" s="516">
        <v>3000</v>
      </c>
      <c r="M383" s="472" t="s">
        <v>2905</v>
      </c>
      <c r="N383" s="5"/>
      <c r="O383" s="106" t="s">
        <v>1316</v>
      </c>
    </row>
    <row r="384" spans="1:15" s="106" customFormat="1" ht="33" customHeight="1" x14ac:dyDescent="0.4">
      <c r="A384" s="155">
        <v>407</v>
      </c>
      <c r="B384" s="33" t="s">
        <v>2922</v>
      </c>
      <c r="C384" s="178" t="s">
        <v>2918</v>
      </c>
      <c r="D384" s="4" t="s">
        <v>250</v>
      </c>
      <c r="E384" s="5" t="s">
        <v>1785</v>
      </c>
      <c r="F384" s="36">
        <v>88022</v>
      </c>
      <c r="G384" s="34" t="s">
        <v>2919</v>
      </c>
      <c r="H384" s="108">
        <v>70000</v>
      </c>
      <c r="I384" s="382">
        <v>130000</v>
      </c>
      <c r="J384" s="179" t="s">
        <v>2920</v>
      </c>
      <c r="K384" s="38">
        <v>3</v>
      </c>
      <c r="L384" s="516">
        <v>3000</v>
      </c>
      <c r="M384" s="472" t="s">
        <v>2921</v>
      </c>
      <c r="N384" s="5" t="s">
        <v>2167</v>
      </c>
    </row>
    <row r="385" spans="1:15" s="106" customFormat="1" ht="33" customHeight="1" x14ac:dyDescent="0.4">
      <c r="A385" s="155">
        <v>529</v>
      </c>
      <c r="B385" s="152" t="s">
        <v>1197</v>
      </c>
      <c r="C385" s="178" t="s">
        <v>2927</v>
      </c>
      <c r="D385" s="4" t="s">
        <v>200</v>
      </c>
      <c r="E385" s="5" t="s">
        <v>1605</v>
      </c>
      <c r="F385" s="36" t="s">
        <v>2925</v>
      </c>
      <c r="G385" s="34" t="s">
        <v>2926</v>
      </c>
      <c r="H385" s="108">
        <v>110000</v>
      </c>
      <c r="I385" s="382">
        <v>304762</v>
      </c>
      <c r="J385" s="179" t="s">
        <v>2924</v>
      </c>
      <c r="K385" s="38">
        <v>1.8</v>
      </c>
      <c r="L385" s="516">
        <v>4000</v>
      </c>
      <c r="M385" s="472" t="s">
        <v>2929</v>
      </c>
      <c r="N385" s="5"/>
      <c r="O385" s="106" t="s">
        <v>1316</v>
      </c>
    </row>
    <row r="386" spans="1:15" s="106" customFormat="1" ht="33" customHeight="1" x14ac:dyDescent="0.4">
      <c r="A386" s="5">
        <v>536</v>
      </c>
      <c r="B386" s="152" t="s">
        <v>1197</v>
      </c>
      <c r="C386" s="178" t="s">
        <v>2938</v>
      </c>
      <c r="D386" s="172" t="s">
        <v>731</v>
      </c>
      <c r="E386" s="155" t="s">
        <v>2917</v>
      </c>
      <c r="F386" s="36" t="s">
        <v>2933</v>
      </c>
      <c r="G386" s="34" t="s">
        <v>2930</v>
      </c>
      <c r="H386" s="153">
        <v>120000</v>
      </c>
      <c r="I386" s="382">
        <v>170000</v>
      </c>
      <c r="J386" s="179" t="s">
        <v>2937</v>
      </c>
      <c r="K386" s="38"/>
      <c r="L386" s="516">
        <v>7900</v>
      </c>
      <c r="M386" s="33" t="s">
        <v>2931</v>
      </c>
      <c r="N386" s="5"/>
      <c r="O386" s="106" t="s">
        <v>1316</v>
      </c>
    </row>
    <row r="387" spans="1:15" s="106" customFormat="1" ht="33" customHeight="1" x14ac:dyDescent="0.4">
      <c r="A387" s="5">
        <v>537</v>
      </c>
      <c r="B387" s="152" t="s">
        <v>1197</v>
      </c>
      <c r="C387" s="178" t="s">
        <v>2938</v>
      </c>
      <c r="D387" s="172" t="s">
        <v>731</v>
      </c>
      <c r="E387" s="155" t="s">
        <v>2917</v>
      </c>
      <c r="F387" s="36" t="s">
        <v>2932</v>
      </c>
      <c r="G387" s="34" t="s">
        <v>2930</v>
      </c>
      <c r="H387" s="153">
        <v>120000</v>
      </c>
      <c r="I387" s="382">
        <v>170000</v>
      </c>
      <c r="J387" s="179" t="s">
        <v>2937</v>
      </c>
      <c r="K387" s="38"/>
      <c r="L387" s="516">
        <v>7900</v>
      </c>
      <c r="M387" s="33" t="s">
        <v>2931</v>
      </c>
      <c r="N387" s="5"/>
      <c r="O387" s="106" t="s">
        <v>1316</v>
      </c>
    </row>
    <row r="388" spans="1:15" s="106" customFormat="1" ht="33" customHeight="1" x14ac:dyDescent="0.4">
      <c r="A388" s="155">
        <v>482</v>
      </c>
      <c r="B388" s="152" t="s">
        <v>1712</v>
      </c>
      <c r="C388" s="563" t="s">
        <v>2940</v>
      </c>
      <c r="D388" s="172" t="s">
        <v>200</v>
      </c>
      <c r="E388" s="155" t="s">
        <v>1605</v>
      </c>
      <c r="F388" s="180" t="s">
        <v>3058</v>
      </c>
      <c r="G388" s="177" t="s">
        <v>2823</v>
      </c>
      <c r="H388" s="153">
        <v>95000</v>
      </c>
      <c r="I388" s="382">
        <v>180000</v>
      </c>
      <c r="J388" s="179" t="s">
        <v>2939</v>
      </c>
      <c r="K388" s="190">
        <v>1.3</v>
      </c>
      <c r="L388" s="313">
        <v>3000</v>
      </c>
      <c r="M388" s="152" t="s">
        <v>2631</v>
      </c>
      <c r="N388" s="155"/>
      <c r="O388" s="106" t="s">
        <v>1316</v>
      </c>
    </row>
    <row r="389" spans="1:15" s="106" customFormat="1" ht="33" customHeight="1" x14ac:dyDescent="0.4">
      <c r="A389" s="155">
        <v>357</v>
      </c>
      <c r="B389" s="152" t="s">
        <v>1712</v>
      </c>
      <c r="C389" s="563" t="s">
        <v>2961</v>
      </c>
      <c r="D389" s="172" t="s">
        <v>490</v>
      </c>
      <c r="E389" s="155" t="s">
        <v>235</v>
      </c>
      <c r="F389" s="180" t="s">
        <v>1822</v>
      </c>
      <c r="G389" s="177" t="s">
        <v>1807</v>
      </c>
      <c r="H389" s="153">
        <v>35000</v>
      </c>
      <c r="I389" s="536" t="s">
        <v>2962</v>
      </c>
      <c r="J389" s="179" t="s">
        <v>2960</v>
      </c>
      <c r="K389" s="190">
        <v>0.9</v>
      </c>
      <c r="L389" s="313">
        <v>3500</v>
      </c>
      <c r="M389" s="152">
        <v>2008</v>
      </c>
      <c r="N389" s="155" t="s">
        <v>1322</v>
      </c>
      <c r="O389" s="106" t="s">
        <v>1316</v>
      </c>
    </row>
    <row r="390" spans="1:15" s="106" customFormat="1" ht="33" customHeight="1" x14ac:dyDescent="0.4">
      <c r="A390" s="155">
        <v>514</v>
      </c>
      <c r="B390" s="33" t="s">
        <v>1712</v>
      </c>
      <c r="C390" s="178" t="s">
        <v>2944</v>
      </c>
      <c r="D390" s="4" t="s">
        <v>200</v>
      </c>
      <c r="E390" s="5" t="s">
        <v>1605</v>
      </c>
      <c r="F390" s="36" t="s">
        <v>2946</v>
      </c>
      <c r="G390" s="34" t="s">
        <v>2947</v>
      </c>
      <c r="H390" s="108">
        <v>80000</v>
      </c>
      <c r="I390" s="382">
        <v>150000</v>
      </c>
      <c r="J390" s="179" t="s">
        <v>2948</v>
      </c>
      <c r="K390" s="38">
        <v>1.5</v>
      </c>
      <c r="L390" s="516">
        <v>3000</v>
      </c>
      <c r="M390" s="472" t="s">
        <v>2949</v>
      </c>
      <c r="N390" s="155" t="s">
        <v>1322</v>
      </c>
      <c r="O390" s="106" t="s">
        <v>1316</v>
      </c>
    </row>
    <row r="391" spans="1:15" s="106" customFormat="1" ht="33" customHeight="1" x14ac:dyDescent="0.4">
      <c r="A391" s="155">
        <v>532</v>
      </c>
      <c r="B391" s="33" t="s">
        <v>1712</v>
      </c>
      <c r="C391" s="178" t="s">
        <v>3148</v>
      </c>
      <c r="D391" s="172" t="s">
        <v>2908</v>
      </c>
      <c r="E391" s="155" t="s">
        <v>2917</v>
      </c>
      <c r="F391" s="36" t="s">
        <v>2909</v>
      </c>
      <c r="G391" s="34" t="s">
        <v>2910</v>
      </c>
      <c r="H391" s="153">
        <v>40000</v>
      </c>
      <c r="I391" s="382">
        <v>70000</v>
      </c>
      <c r="J391" s="179" t="s">
        <v>2950</v>
      </c>
      <c r="K391" s="38">
        <v>0.2</v>
      </c>
      <c r="L391" s="516">
        <v>3800</v>
      </c>
      <c r="M391" s="33" t="s">
        <v>2911</v>
      </c>
      <c r="N391" s="155"/>
      <c r="O391" s="106" t="s">
        <v>1316</v>
      </c>
    </row>
    <row r="392" spans="1:15" s="106" customFormat="1" ht="33" customHeight="1" x14ac:dyDescent="0.4">
      <c r="A392" s="155">
        <v>298</v>
      </c>
      <c r="B392" s="152" t="s">
        <v>1712</v>
      </c>
      <c r="C392" s="178" t="s">
        <v>2951</v>
      </c>
      <c r="D392" s="172" t="s">
        <v>200</v>
      </c>
      <c r="E392" s="155" t="s">
        <v>1605</v>
      </c>
      <c r="F392" s="180" t="s">
        <v>2952</v>
      </c>
      <c r="G392" s="177" t="s">
        <v>1983</v>
      </c>
      <c r="H392" s="153">
        <v>80000</v>
      </c>
      <c r="I392" s="382">
        <v>180000</v>
      </c>
      <c r="J392" s="179" t="s">
        <v>2953</v>
      </c>
      <c r="K392" s="190">
        <v>1.5</v>
      </c>
      <c r="L392" s="313">
        <v>5000</v>
      </c>
      <c r="M392" s="331" t="s">
        <v>2954</v>
      </c>
      <c r="N392" s="155" t="s">
        <v>1322</v>
      </c>
      <c r="O392" s="106" t="s">
        <v>2955</v>
      </c>
    </row>
    <row r="393" spans="1:15" s="106" customFormat="1" ht="33" customHeight="1" x14ac:dyDescent="0.4">
      <c r="A393" s="5">
        <v>505</v>
      </c>
      <c r="B393" s="152" t="s">
        <v>1712</v>
      </c>
      <c r="C393" s="563" t="s">
        <v>2978</v>
      </c>
      <c r="D393" s="4" t="s">
        <v>250</v>
      </c>
      <c r="E393" s="5" t="s">
        <v>1737</v>
      </c>
      <c r="F393" s="36" t="s">
        <v>2972</v>
      </c>
      <c r="G393" s="34" t="s">
        <v>2973</v>
      </c>
      <c r="H393" s="108">
        <v>120000</v>
      </c>
      <c r="I393" s="382">
        <v>180000</v>
      </c>
      <c r="J393" s="179" t="s">
        <v>2974</v>
      </c>
      <c r="K393" s="38">
        <v>2.5</v>
      </c>
      <c r="L393" s="516">
        <v>4100</v>
      </c>
      <c r="M393" s="472" t="s">
        <v>2975</v>
      </c>
      <c r="N393" s="5" t="s">
        <v>1322</v>
      </c>
      <c r="O393" s="106" t="s">
        <v>3167</v>
      </c>
    </row>
    <row r="394" spans="1:15" s="106" customFormat="1" ht="33" customHeight="1" x14ac:dyDescent="0.4">
      <c r="A394" s="155">
        <v>479</v>
      </c>
      <c r="B394" s="33" t="s">
        <v>1712</v>
      </c>
      <c r="C394" s="563" t="s">
        <v>2979</v>
      </c>
      <c r="D394" s="4" t="s">
        <v>250</v>
      </c>
      <c r="E394" s="5" t="s">
        <v>1785</v>
      </c>
      <c r="F394" s="36" t="s">
        <v>2976</v>
      </c>
      <c r="G394" s="34" t="s">
        <v>2977</v>
      </c>
      <c r="H394" s="108">
        <v>70000</v>
      </c>
      <c r="I394" s="382">
        <v>110000</v>
      </c>
      <c r="J394" s="179" t="s">
        <v>2980</v>
      </c>
      <c r="K394" s="38">
        <v>1.5</v>
      </c>
      <c r="L394" s="516">
        <v>3000</v>
      </c>
      <c r="M394" s="743" t="s">
        <v>2988</v>
      </c>
      <c r="N394" s="5" t="s">
        <v>1322</v>
      </c>
      <c r="O394" s="106" t="s">
        <v>2955</v>
      </c>
    </row>
    <row r="395" spans="1:15" s="106" customFormat="1" ht="33" customHeight="1" x14ac:dyDescent="0.4">
      <c r="A395" s="155">
        <v>258</v>
      </c>
      <c r="B395" s="33" t="s">
        <v>1784</v>
      </c>
      <c r="C395" s="563" t="s">
        <v>2996</v>
      </c>
      <c r="D395" s="4" t="s">
        <v>250</v>
      </c>
      <c r="E395" s="5" t="s">
        <v>1963</v>
      </c>
      <c r="F395" s="36" t="s">
        <v>2992</v>
      </c>
      <c r="G395" s="34" t="s">
        <v>2993</v>
      </c>
      <c r="H395" s="108">
        <v>520000</v>
      </c>
      <c r="I395" s="382">
        <v>640000</v>
      </c>
      <c r="J395" s="179" t="s">
        <v>2995</v>
      </c>
      <c r="K395" s="38">
        <v>6</v>
      </c>
      <c r="L395" s="516">
        <v>3000</v>
      </c>
      <c r="M395" s="472" t="s">
        <v>2994</v>
      </c>
      <c r="N395" s="5" t="s">
        <v>1322</v>
      </c>
      <c r="O395" s="106" t="s">
        <v>2429</v>
      </c>
    </row>
    <row r="396" spans="1:15" s="106" customFormat="1" ht="33" customHeight="1" x14ac:dyDescent="0.4">
      <c r="A396" s="155">
        <v>441</v>
      </c>
      <c r="B396" s="33" t="s">
        <v>1712</v>
      </c>
      <c r="C396" s="178" t="s">
        <v>3066</v>
      </c>
      <c r="D396" s="4" t="s">
        <v>200</v>
      </c>
      <c r="E396" s="5" t="s">
        <v>201</v>
      </c>
      <c r="F396" s="36" t="s">
        <v>3065</v>
      </c>
      <c r="G396" s="34" t="s">
        <v>3045</v>
      </c>
      <c r="H396" s="108">
        <v>80000</v>
      </c>
      <c r="I396" s="382">
        <v>160000</v>
      </c>
      <c r="J396" s="179" t="s">
        <v>3067</v>
      </c>
      <c r="K396" s="38">
        <v>1.5</v>
      </c>
      <c r="L396" s="516">
        <v>5000</v>
      </c>
      <c r="M396" s="472" t="s">
        <v>3068</v>
      </c>
      <c r="N396" s="155" t="s">
        <v>815</v>
      </c>
      <c r="O396" s="106" t="s">
        <v>2429</v>
      </c>
    </row>
    <row r="397" spans="1:15" s="106" customFormat="1" ht="33" customHeight="1" x14ac:dyDescent="0.4">
      <c r="A397" s="155">
        <v>539</v>
      </c>
      <c r="B397" s="33" t="s">
        <v>1712</v>
      </c>
      <c r="C397" s="178" t="s">
        <v>3001</v>
      </c>
      <c r="D397" s="4" t="s">
        <v>200</v>
      </c>
      <c r="E397" s="5" t="s">
        <v>1605</v>
      </c>
      <c r="F397" s="36" t="s">
        <v>2997</v>
      </c>
      <c r="G397" s="34" t="s">
        <v>2998</v>
      </c>
      <c r="H397" s="108">
        <v>100000</v>
      </c>
      <c r="I397" s="382">
        <v>210000</v>
      </c>
      <c r="J397" s="179" t="s">
        <v>2999</v>
      </c>
      <c r="K397" s="38">
        <v>1.3</v>
      </c>
      <c r="L397" s="516">
        <v>3000</v>
      </c>
      <c r="M397" s="472" t="s">
        <v>3000</v>
      </c>
      <c r="N397" s="5"/>
      <c r="O397" s="106" t="s">
        <v>2429</v>
      </c>
    </row>
    <row r="398" spans="1:15" s="106" customFormat="1" ht="33" customHeight="1" x14ac:dyDescent="0.4">
      <c r="A398" s="155">
        <v>546</v>
      </c>
      <c r="B398" s="33" t="s">
        <v>1712</v>
      </c>
      <c r="C398" s="178" t="s">
        <v>3013</v>
      </c>
      <c r="D398" s="4" t="s">
        <v>200</v>
      </c>
      <c r="E398" s="5" t="s">
        <v>1605</v>
      </c>
      <c r="F398" s="36" t="s">
        <v>3009</v>
      </c>
      <c r="G398" s="34" t="s">
        <v>3010</v>
      </c>
      <c r="H398" s="108">
        <v>140000</v>
      </c>
      <c r="I398" s="382">
        <v>215000</v>
      </c>
      <c r="J398" s="179" t="s">
        <v>3011</v>
      </c>
      <c r="K398" s="38">
        <v>1.5</v>
      </c>
      <c r="L398" s="516">
        <v>5500</v>
      </c>
      <c r="M398" s="472" t="s">
        <v>3012</v>
      </c>
      <c r="N398" s="5"/>
      <c r="O398" s="106" t="s">
        <v>2429</v>
      </c>
    </row>
    <row r="399" spans="1:15" s="106" customFormat="1" ht="33" customHeight="1" x14ac:dyDescent="0.4">
      <c r="A399" s="155">
        <v>550</v>
      </c>
      <c r="B399" s="33" t="s">
        <v>3018</v>
      </c>
      <c r="C399" s="178" t="s">
        <v>3020</v>
      </c>
      <c r="D399" s="172" t="s">
        <v>3014</v>
      </c>
      <c r="E399" s="155" t="s">
        <v>3015</v>
      </c>
      <c r="F399" s="36" t="s">
        <v>3016</v>
      </c>
      <c r="G399" s="34" t="s">
        <v>3051</v>
      </c>
      <c r="H399" s="108" t="s">
        <v>3050</v>
      </c>
      <c r="I399" s="382">
        <v>120000</v>
      </c>
      <c r="J399" s="179" t="s">
        <v>3019</v>
      </c>
      <c r="K399" s="38">
        <v>2.5</v>
      </c>
      <c r="L399" s="516">
        <v>3000</v>
      </c>
      <c r="M399" s="33" t="s">
        <v>3017</v>
      </c>
      <c r="N399" s="5" t="s">
        <v>3021</v>
      </c>
    </row>
    <row r="400" spans="1:15" s="106" customFormat="1" ht="33" customHeight="1" x14ac:dyDescent="0.4">
      <c r="A400" s="155">
        <v>530</v>
      </c>
      <c r="B400" s="33" t="s">
        <v>1712</v>
      </c>
      <c r="C400" s="178" t="s">
        <v>3024</v>
      </c>
      <c r="D400" s="4" t="s">
        <v>200</v>
      </c>
      <c r="E400" s="5" t="s">
        <v>1605</v>
      </c>
      <c r="F400" s="36" t="s">
        <v>3022</v>
      </c>
      <c r="G400" s="34" t="s">
        <v>3023</v>
      </c>
      <c r="H400" s="108">
        <v>70000</v>
      </c>
      <c r="I400" s="382">
        <v>160000</v>
      </c>
      <c r="J400" s="179" t="s">
        <v>3025</v>
      </c>
      <c r="K400" s="38">
        <v>1.8</v>
      </c>
      <c r="L400" s="516">
        <v>4000</v>
      </c>
      <c r="M400" s="472" t="s">
        <v>3026</v>
      </c>
      <c r="N400" s="5"/>
      <c r="O400" s="106" t="s">
        <v>1316</v>
      </c>
    </row>
    <row r="401" spans="1:15" s="106" customFormat="1" ht="33" customHeight="1" x14ac:dyDescent="0.4">
      <c r="A401" s="155">
        <v>547</v>
      </c>
      <c r="B401" s="33" t="s">
        <v>1712</v>
      </c>
      <c r="C401" s="178" t="s">
        <v>3036</v>
      </c>
      <c r="D401" s="4" t="s">
        <v>200</v>
      </c>
      <c r="E401" s="5" t="s">
        <v>1605</v>
      </c>
      <c r="F401" s="36" t="s">
        <v>3037</v>
      </c>
      <c r="G401" s="34" t="s">
        <v>3038</v>
      </c>
      <c r="H401" s="108">
        <v>110000</v>
      </c>
      <c r="I401" s="382">
        <v>225000</v>
      </c>
      <c r="J401" s="179" t="s">
        <v>3039</v>
      </c>
      <c r="K401" s="38">
        <v>1.5</v>
      </c>
      <c r="L401" s="516">
        <v>4300</v>
      </c>
      <c r="M401" s="472" t="s">
        <v>3040</v>
      </c>
      <c r="N401" s="5"/>
      <c r="O401" s="106" t="s">
        <v>2429</v>
      </c>
    </row>
    <row r="402" spans="1:15" s="106" customFormat="1" ht="33" customHeight="1" x14ac:dyDescent="0.4">
      <c r="A402" s="155">
        <v>515</v>
      </c>
      <c r="B402" s="33" t="s">
        <v>1712</v>
      </c>
      <c r="C402" s="178" t="s">
        <v>3066</v>
      </c>
      <c r="D402" s="4" t="s">
        <v>200</v>
      </c>
      <c r="E402" s="5" t="s">
        <v>1605</v>
      </c>
      <c r="F402" s="36" t="s">
        <v>3069</v>
      </c>
      <c r="G402" s="34" t="s">
        <v>2947</v>
      </c>
      <c r="H402" s="108">
        <v>70000</v>
      </c>
      <c r="I402" s="382">
        <v>160000</v>
      </c>
      <c r="J402" s="179" t="s">
        <v>3059</v>
      </c>
      <c r="K402" s="38">
        <v>1.3</v>
      </c>
      <c r="L402" s="516">
        <v>4500</v>
      </c>
      <c r="M402" s="472" t="s">
        <v>3070</v>
      </c>
      <c r="N402" s="155" t="s">
        <v>815</v>
      </c>
      <c r="O402" s="106" t="s">
        <v>2429</v>
      </c>
    </row>
    <row r="403" spans="1:15" s="106" customFormat="1" ht="33" customHeight="1" x14ac:dyDescent="0.4">
      <c r="A403" s="5">
        <v>522</v>
      </c>
      <c r="B403" s="152" t="s">
        <v>2769</v>
      </c>
      <c r="C403" s="178" t="s">
        <v>3060</v>
      </c>
      <c r="D403" s="172" t="s">
        <v>200</v>
      </c>
      <c r="E403" s="155" t="s">
        <v>1605</v>
      </c>
      <c r="F403" s="36" t="s">
        <v>2830</v>
      </c>
      <c r="G403" s="34" t="s">
        <v>2838</v>
      </c>
      <c r="H403" s="153">
        <v>85000</v>
      </c>
      <c r="I403" s="382">
        <v>200000</v>
      </c>
      <c r="J403" s="179" t="s">
        <v>3059</v>
      </c>
      <c r="K403" s="38">
        <v>2</v>
      </c>
      <c r="L403" s="516">
        <v>3000</v>
      </c>
      <c r="M403" s="33" t="s">
        <v>2831</v>
      </c>
      <c r="N403" s="155" t="s">
        <v>815</v>
      </c>
      <c r="O403" s="106" t="s">
        <v>2429</v>
      </c>
    </row>
    <row r="404" spans="1:15" s="106" customFormat="1" ht="33" customHeight="1" x14ac:dyDescent="0.4">
      <c r="A404" s="155">
        <v>557</v>
      </c>
      <c r="B404" s="152" t="s">
        <v>2769</v>
      </c>
      <c r="C404" s="563" t="s">
        <v>3086</v>
      </c>
      <c r="D404" s="172" t="s">
        <v>200</v>
      </c>
      <c r="E404" s="155" t="s">
        <v>1605</v>
      </c>
      <c r="F404" s="36" t="s">
        <v>3074</v>
      </c>
      <c r="G404" s="34" t="s">
        <v>3080</v>
      </c>
      <c r="H404" s="153">
        <v>80000</v>
      </c>
      <c r="I404" s="382">
        <v>220000</v>
      </c>
      <c r="J404" s="179" t="s">
        <v>3087</v>
      </c>
      <c r="K404" s="38">
        <v>1.8</v>
      </c>
      <c r="L404" s="516">
        <v>3000</v>
      </c>
      <c r="M404" s="33" t="s">
        <v>3075</v>
      </c>
      <c r="N404" s="5"/>
      <c r="O404" s="106" t="s">
        <v>1316</v>
      </c>
    </row>
    <row r="405" spans="1:15" s="106" customFormat="1" ht="33" customHeight="1" x14ac:dyDescent="0.4">
      <c r="A405" s="5">
        <v>541</v>
      </c>
      <c r="B405" s="152" t="s">
        <v>1197</v>
      </c>
      <c r="C405" s="178" t="s">
        <v>3091</v>
      </c>
      <c r="D405" s="172" t="s">
        <v>200</v>
      </c>
      <c r="E405" s="155" t="s">
        <v>1605</v>
      </c>
      <c r="F405" s="36" t="s">
        <v>2970</v>
      </c>
      <c r="G405" s="34" t="s">
        <v>2971</v>
      </c>
      <c r="H405" s="153">
        <v>100000</v>
      </c>
      <c r="I405" s="382">
        <v>205000</v>
      </c>
      <c r="J405" s="179" t="s">
        <v>3092</v>
      </c>
      <c r="K405" s="38">
        <v>1.3</v>
      </c>
      <c r="L405" s="516">
        <v>4500</v>
      </c>
      <c r="M405" s="33" t="s">
        <v>2941</v>
      </c>
      <c r="N405" s="155"/>
      <c r="O405" s="106" t="s">
        <v>1316</v>
      </c>
    </row>
    <row r="406" spans="1:15" s="106" customFormat="1" ht="33" customHeight="1" x14ac:dyDescent="0.4">
      <c r="A406" s="139">
        <v>226</v>
      </c>
      <c r="B406" s="666" t="s">
        <v>3099</v>
      </c>
      <c r="C406" s="178" t="s">
        <v>3098</v>
      </c>
      <c r="D406" s="4" t="s">
        <v>1547</v>
      </c>
      <c r="E406" s="5" t="s">
        <v>201</v>
      </c>
      <c r="F406" s="36" t="s">
        <v>2095</v>
      </c>
      <c r="G406" s="34" t="s">
        <v>2096</v>
      </c>
      <c r="H406" s="108">
        <v>70000</v>
      </c>
      <c r="I406" s="382">
        <v>97800</v>
      </c>
      <c r="J406" s="179" t="s">
        <v>3097</v>
      </c>
      <c r="K406" s="38">
        <v>0.5</v>
      </c>
      <c r="L406" s="516">
        <v>2500</v>
      </c>
      <c r="M406" s="472" t="s">
        <v>2097</v>
      </c>
      <c r="N406" s="5" t="s">
        <v>3169</v>
      </c>
    </row>
    <row r="407" spans="1:15" s="106" customFormat="1" ht="33" customHeight="1" x14ac:dyDescent="0.4">
      <c r="A407" s="155">
        <v>534</v>
      </c>
      <c r="B407" s="152" t="s">
        <v>1712</v>
      </c>
      <c r="C407" s="178" t="s">
        <v>3108</v>
      </c>
      <c r="D407" s="172" t="s">
        <v>200</v>
      </c>
      <c r="E407" s="155" t="s">
        <v>1605</v>
      </c>
      <c r="F407" s="180" t="s">
        <v>3105</v>
      </c>
      <c r="G407" s="177" t="s">
        <v>3106</v>
      </c>
      <c r="H407" s="153">
        <v>120000</v>
      </c>
      <c r="I407" s="382">
        <v>185000</v>
      </c>
      <c r="J407" s="179" t="s">
        <v>3097</v>
      </c>
      <c r="K407" s="190">
        <v>1.5</v>
      </c>
      <c r="L407" s="313">
        <v>5000</v>
      </c>
      <c r="M407" s="331" t="s">
        <v>3107</v>
      </c>
      <c r="N407" s="155" t="s">
        <v>3111</v>
      </c>
      <c r="O407" s="106" t="s">
        <v>3112</v>
      </c>
    </row>
    <row r="408" spans="1:15" s="106" customFormat="1" ht="33" customHeight="1" x14ac:dyDescent="0.4">
      <c r="A408" s="5">
        <v>561</v>
      </c>
      <c r="B408" s="152" t="s">
        <v>768</v>
      </c>
      <c r="C408" s="563" t="s">
        <v>3120</v>
      </c>
      <c r="D408" s="172" t="s">
        <v>14</v>
      </c>
      <c r="E408" s="155" t="s">
        <v>1605</v>
      </c>
      <c r="F408" s="36" t="s">
        <v>3113</v>
      </c>
      <c r="G408" s="34" t="s">
        <v>3115</v>
      </c>
      <c r="H408" s="153">
        <v>620000</v>
      </c>
      <c r="I408" s="382">
        <v>809523.8</v>
      </c>
      <c r="J408" s="179" t="s">
        <v>3119</v>
      </c>
      <c r="K408" s="38">
        <v>1.5</v>
      </c>
      <c r="L408" s="516">
        <v>3000</v>
      </c>
      <c r="M408" s="33" t="s">
        <v>3117</v>
      </c>
      <c r="N408" s="5"/>
    </row>
    <row r="409" spans="1:15" s="106" customFormat="1" ht="33" customHeight="1" x14ac:dyDescent="0.4">
      <c r="A409" s="5">
        <v>562</v>
      </c>
      <c r="B409" s="152" t="s">
        <v>768</v>
      </c>
      <c r="C409" s="563" t="s">
        <v>3120</v>
      </c>
      <c r="D409" s="172" t="s">
        <v>14</v>
      </c>
      <c r="E409" s="155" t="s">
        <v>1605</v>
      </c>
      <c r="F409" s="36" t="s">
        <v>3114</v>
      </c>
      <c r="G409" s="34" t="s">
        <v>3115</v>
      </c>
      <c r="H409" s="153">
        <v>620000</v>
      </c>
      <c r="I409" s="382">
        <v>809523.8</v>
      </c>
      <c r="J409" s="179" t="s">
        <v>3119</v>
      </c>
      <c r="K409" s="38">
        <v>1.5</v>
      </c>
      <c r="L409" s="516">
        <v>3000</v>
      </c>
      <c r="M409" s="33" t="s">
        <v>3118</v>
      </c>
      <c r="N409" s="5"/>
    </row>
    <row r="410" spans="1:15" s="106" customFormat="1" ht="33" customHeight="1" x14ac:dyDescent="0.4">
      <c r="A410" s="155">
        <v>481</v>
      </c>
      <c r="B410" s="33" t="s">
        <v>3123</v>
      </c>
      <c r="C410" s="178" t="s">
        <v>3122</v>
      </c>
      <c r="D410" s="4" t="s">
        <v>200</v>
      </c>
      <c r="E410" s="5" t="s">
        <v>201</v>
      </c>
      <c r="F410" s="36" t="s">
        <v>3124</v>
      </c>
      <c r="G410" s="34" t="s">
        <v>3125</v>
      </c>
      <c r="H410" s="108">
        <v>30000</v>
      </c>
      <c r="I410" s="382">
        <v>58667</v>
      </c>
      <c r="J410" s="179" t="s">
        <v>3121</v>
      </c>
      <c r="K410" s="38">
        <v>1.3</v>
      </c>
      <c r="L410" s="516">
        <v>3000</v>
      </c>
      <c r="M410" s="472" t="s">
        <v>3126</v>
      </c>
      <c r="N410" s="5" t="s">
        <v>10</v>
      </c>
    </row>
    <row r="411" spans="1:15" s="106" customFormat="1" ht="33" customHeight="1" x14ac:dyDescent="0.4">
      <c r="A411" s="155">
        <v>542</v>
      </c>
      <c r="B411" s="33" t="s">
        <v>1712</v>
      </c>
      <c r="C411" s="178" t="s">
        <v>3136</v>
      </c>
      <c r="D411" s="4" t="s">
        <v>200</v>
      </c>
      <c r="E411" s="5" t="s">
        <v>1605</v>
      </c>
      <c r="F411" s="36" t="s">
        <v>3137</v>
      </c>
      <c r="G411" s="34" t="s">
        <v>3010</v>
      </c>
      <c r="H411" s="108">
        <v>130000</v>
      </c>
      <c r="I411" s="382">
        <v>150000</v>
      </c>
      <c r="J411" s="179" t="s">
        <v>3138</v>
      </c>
      <c r="K411" s="38">
        <v>1.5</v>
      </c>
      <c r="L411" s="516">
        <v>3500</v>
      </c>
      <c r="M411" s="472" t="s">
        <v>3139</v>
      </c>
      <c r="N411" s="5"/>
      <c r="O411" s="106" t="s">
        <v>1316</v>
      </c>
    </row>
    <row r="412" spans="1:15" s="106" customFormat="1" ht="33" customHeight="1" x14ac:dyDescent="0.4">
      <c r="A412" s="155">
        <v>452</v>
      </c>
      <c r="B412" s="33" t="s">
        <v>1712</v>
      </c>
      <c r="C412" s="178" t="s">
        <v>3132</v>
      </c>
      <c r="D412" s="4" t="s">
        <v>1547</v>
      </c>
      <c r="E412" s="5" t="s">
        <v>1605</v>
      </c>
      <c r="F412" s="36" t="s">
        <v>3129</v>
      </c>
      <c r="G412" s="34" t="s">
        <v>2470</v>
      </c>
      <c r="H412" s="108">
        <v>80000</v>
      </c>
      <c r="I412" s="382">
        <v>95000</v>
      </c>
      <c r="J412" s="179" t="s">
        <v>3130</v>
      </c>
      <c r="K412" s="38">
        <v>1.8</v>
      </c>
      <c r="L412" s="516">
        <v>3000</v>
      </c>
      <c r="M412" s="472" t="s">
        <v>3131</v>
      </c>
      <c r="N412" s="5" t="s">
        <v>1322</v>
      </c>
      <c r="O412" s="106" t="s">
        <v>1316</v>
      </c>
    </row>
    <row r="413" spans="1:15" s="106" customFormat="1" ht="33" customHeight="1" x14ac:dyDescent="0.4">
      <c r="A413" s="5">
        <v>544</v>
      </c>
      <c r="B413" s="152" t="s">
        <v>1197</v>
      </c>
      <c r="C413" s="178" t="s">
        <v>3161</v>
      </c>
      <c r="D413" s="172" t="s">
        <v>200</v>
      </c>
      <c r="E413" s="155" t="s">
        <v>1605</v>
      </c>
      <c r="F413" s="36" t="s">
        <v>2989</v>
      </c>
      <c r="G413" s="34" t="s">
        <v>2985</v>
      </c>
      <c r="H413" s="153">
        <v>100000</v>
      </c>
      <c r="I413" s="382">
        <v>170000</v>
      </c>
      <c r="J413" s="179" t="s">
        <v>3160</v>
      </c>
      <c r="K413" s="38">
        <v>1.5</v>
      </c>
      <c r="L413" s="516">
        <v>5000</v>
      </c>
      <c r="M413" s="33" t="s">
        <v>2877</v>
      </c>
      <c r="N413" s="5"/>
      <c r="O413" s="106" t="s">
        <v>1316</v>
      </c>
    </row>
    <row r="414" spans="1:15" s="106" customFormat="1" ht="33" customHeight="1" x14ac:dyDescent="0.4">
      <c r="A414" s="155">
        <v>569</v>
      </c>
      <c r="B414" s="152" t="s">
        <v>1197</v>
      </c>
      <c r="C414" s="178" t="s">
        <v>3195</v>
      </c>
      <c r="D414" s="172" t="s">
        <v>200</v>
      </c>
      <c r="E414" s="155" t="s">
        <v>1605</v>
      </c>
      <c r="F414" s="36" t="s">
        <v>3197</v>
      </c>
      <c r="G414" s="34" t="s">
        <v>3202</v>
      </c>
      <c r="H414" s="108">
        <v>80000</v>
      </c>
      <c r="I414" s="382">
        <v>180000</v>
      </c>
      <c r="J414" s="179" t="s">
        <v>3203</v>
      </c>
      <c r="K414" s="38">
        <v>1.8</v>
      </c>
      <c r="L414" s="516">
        <v>4700</v>
      </c>
      <c r="M414" s="472" t="s">
        <v>3205</v>
      </c>
      <c r="N414" s="5"/>
    </row>
    <row r="415" spans="1:15" s="106" customFormat="1" ht="33" customHeight="1" x14ac:dyDescent="0.4">
      <c r="A415" s="155">
        <v>573</v>
      </c>
      <c r="B415" s="152" t="s">
        <v>1197</v>
      </c>
      <c r="C415" s="178" t="s">
        <v>3196</v>
      </c>
      <c r="D415" s="172" t="s">
        <v>200</v>
      </c>
      <c r="E415" s="155" t="s">
        <v>1605</v>
      </c>
      <c r="F415" s="36" t="s">
        <v>3199</v>
      </c>
      <c r="G415" s="34" t="s">
        <v>3207</v>
      </c>
      <c r="H415" s="108">
        <v>120000</v>
      </c>
      <c r="I415" s="382">
        <v>220000</v>
      </c>
      <c r="J415" s="179" t="s">
        <v>3204</v>
      </c>
      <c r="K415" s="38">
        <v>1.5</v>
      </c>
      <c r="L415" s="516">
        <v>4000</v>
      </c>
      <c r="M415" s="472" t="s">
        <v>3206</v>
      </c>
      <c r="N415" s="5"/>
    </row>
    <row r="416" spans="1:15" s="106" customFormat="1" ht="33" customHeight="1" x14ac:dyDescent="0.4">
      <c r="A416" s="155"/>
      <c r="B416" s="33"/>
      <c r="C416" s="178"/>
      <c r="D416" s="4"/>
      <c r="E416" s="5"/>
      <c r="F416" s="36"/>
      <c r="G416" s="34"/>
      <c r="H416" s="108"/>
      <c r="I416" s="382"/>
      <c r="J416" s="179"/>
      <c r="K416" s="38"/>
      <c r="L416" s="516"/>
      <c r="M416" s="472"/>
      <c r="N416" s="5"/>
    </row>
    <row r="417" spans="1:14" s="106" customFormat="1" ht="33" customHeight="1" x14ac:dyDescent="0.4">
      <c r="A417" s="155"/>
      <c r="B417" s="33"/>
      <c r="C417" s="178"/>
      <c r="D417" s="4"/>
      <c r="E417" s="5"/>
      <c r="F417" s="36"/>
      <c r="G417" s="34"/>
      <c r="H417" s="108"/>
      <c r="I417" s="382"/>
      <c r="J417" s="179"/>
      <c r="K417" s="38"/>
      <c r="L417" s="516"/>
      <c r="M417" s="472"/>
      <c r="N417" s="5"/>
    </row>
    <row r="418" spans="1:14" s="106" customFormat="1" ht="33" customHeight="1" x14ac:dyDescent="0.4">
      <c r="A418" s="155"/>
      <c r="B418" s="33"/>
      <c r="C418" s="178"/>
      <c r="D418" s="4"/>
      <c r="E418" s="5"/>
      <c r="F418" s="36"/>
      <c r="G418" s="34"/>
      <c r="H418" s="108"/>
      <c r="I418" s="382"/>
      <c r="J418" s="179"/>
      <c r="K418" s="38"/>
      <c r="L418" s="516"/>
      <c r="M418" s="472"/>
      <c r="N418" s="5"/>
    </row>
    <row r="419" spans="1:14" s="106" customFormat="1" ht="33" customHeight="1" x14ac:dyDescent="0.4">
      <c r="A419" s="155"/>
      <c r="B419" s="33"/>
      <c r="C419" s="178"/>
      <c r="D419" s="4"/>
      <c r="E419" s="5"/>
      <c r="F419" s="36"/>
      <c r="G419" s="34"/>
      <c r="H419" s="108"/>
      <c r="I419" s="382"/>
      <c r="J419" s="179"/>
      <c r="K419" s="38"/>
      <c r="L419" s="516"/>
      <c r="M419" s="472"/>
      <c r="N419" s="5"/>
    </row>
  </sheetData>
  <autoFilter ref="A2:M409" xr:uid="{00000000-0009-0000-0000-000005000000}"/>
  <mergeCells count="1">
    <mergeCell ref="A1:M1"/>
  </mergeCells>
  <phoneticPr fontId="2" type="noConversion"/>
  <conditionalFormatting sqref="A402:B402">
    <cfRule type="expression" priority="10">
      <formula>A$2&lt;&gt;""</formula>
    </cfRule>
  </conditionalFormatting>
  <conditionalFormatting sqref="A391:C391 A392:B392">
    <cfRule type="expression" priority="21">
      <formula>A$2&lt;&gt;""</formula>
    </cfRule>
  </conditionalFormatting>
  <conditionalFormatting sqref="A410:F411 H410:I411 K410:M411 A412:N412 I413:J413 N413">
    <cfRule type="expression" priority="8">
      <formula>A$2&lt;&gt;""</formula>
    </cfRule>
  </conditionalFormatting>
  <conditionalFormatting sqref="A394:J396">
    <cfRule type="expression" priority="13">
      <formula>A$2&lt;&gt;""</formula>
    </cfRule>
  </conditionalFormatting>
  <conditionalFormatting sqref="A397:N398 A399:C399 G399:L399 N399 A400:N401 D402:M402">
    <cfRule type="expression" priority="19">
      <formula>A$2&lt;&gt;""</formula>
    </cfRule>
  </conditionalFormatting>
  <conditionalFormatting sqref="A416:N419">
    <cfRule type="expression" priority="1">
      <formula>A$2&lt;&gt;""</formula>
    </cfRule>
  </conditionalFormatting>
  <conditionalFormatting sqref="C402:C405">
    <cfRule type="expression" priority="11">
      <formula>C$2&lt;&gt;""</formula>
    </cfRule>
  </conditionalFormatting>
  <conditionalFormatting sqref="C413:C415 A414:A415 F414:N415">
    <cfRule type="expression" priority="6">
      <formula>A$2&lt;&gt;""</formula>
    </cfRule>
  </conditionalFormatting>
  <conditionalFormatting sqref="C406:N406 A407:N407">
    <cfRule type="expression" priority="15">
      <formula>A$2&lt;&gt;""</formula>
    </cfRule>
  </conditionalFormatting>
  <conditionalFormatting sqref="I409">
    <cfRule type="expression" priority="4">
      <formula>I$2&lt;&gt;""</formula>
    </cfRule>
  </conditionalFormatting>
  <conditionalFormatting sqref="I1:J391">
    <cfRule type="expression" priority="20">
      <formula>I$2&lt;&gt;""</formula>
    </cfRule>
  </conditionalFormatting>
  <conditionalFormatting sqref="I403:J405 A404 N404">
    <cfRule type="expression" priority="16">
      <formula>A$2&lt;&gt;""</formula>
    </cfRule>
  </conditionalFormatting>
  <conditionalFormatting sqref="I408:J408 C408:C409">
    <cfRule type="expression" priority="9">
      <formula>C$2&lt;&gt;""</formula>
    </cfRule>
  </conditionalFormatting>
  <conditionalFormatting sqref="J409:J411">
    <cfRule type="expression" priority="5">
      <formula>J$2&lt;&gt;""</formula>
    </cfRule>
  </conditionalFormatting>
  <conditionalFormatting sqref="K396:M396">
    <cfRule type="expression" priority="12">
      <formula>K$2&lt;&gt;""</formula>
    </cfRule>
  </conditionalFormatting>
  <conditionalFormatting sqref="N1:N354 A1:B365 K1:M365 D1:H366 C1:C390 N356 N360:N363 D368:N368 K368:N371 A368:B373 H368:H375 D370:G375 K372:M373 D372:H375 K374:N375 A375:B375 A377:A378 K377:N381 B377:B384 D377:H384 A381:A384 A382:J382 K383:N384 D385:F385 H385 L385:M385 K385:K387 N385:N388 A388:J388 A389:C389 A390:M390 C392:J393 E392:N395 E420:E434 A420:D1048576 F420:N1048576 E436:E1048576">
    <cfRule type="expression" priority="22">
      <formula>A$2&lt;&gt;""</formula>
    </cfRule>
  </conditionalFormatting>
  <conditionalFormatting sqref="N376">
    <cfRule type="expression" priority="7">
      <formula>N$2&lt;&gt;""</formula>
    </cfRule>
  </conditionalFormatting>
  <conditionalFormatting sqref="N382">
    <cfRule type="expression" priority="18">
      <formula>N$2&lt;&gt;""</formula>
    </cfRule>
  </conditionalFormatting>
  <conditionalFormatting sqref="N408:N411">
    <cfRule type="expression" priority="2">
      <formula>N$2&lt;&gt;""</formula>
    </cfRule>
  </conditionalFormatting>
  <pageMargins left="0" right="0" top="0.39370078740157483" bottom="0.39370078740157483" header="0.39370078740157483" footer="0.39370078740157483"/>
  <pageSetup paperSize="9" scale="95" orientation="landscape" horizontalDpi="180" verticalDpi="180" r:id="rId1"/>
  <headerFooter alignWithMargins="0"/>
  <ignoredErrors>
    <ignoredError sqref="M262 M272" numberStoredAsText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G59"/>
  <sheetViews>
    <sheetView topLeftCell="A87" workbookViewId="0">
      <selection activeCell="J103" sqref="J103"/>
    </sheetView>
  </sheetViews>
  <sheetFormatPr defaultColWidth="9" defaultRowHeight="21.75" customHeight="1" x14ac:dyDescent="0.4"/>
  <cols>
    <col min="1" max="1" width="13.7265625" style="1" customWidth="1"/>
    <col min="2" max="4" width="9" style="1"/>
    <col min="5" max="5" width="12.36328125" style="1" customWidth="1"/>
    <col min="6" max="16384" width="9" style="1"/>
  </cols>
  <sheetData>
    <row r="1" spans="1:5" ht="21.75" customHeight="1" x14ac:dyDescent="0.4">
      <c r="A1" s="1" t="s">
        <v>157</v>
      </c>
    </row>
    <row r="7" spans="1:5" ht="21.75" customHeight="1" x14ac:dyDescent="0.4">
      <c r="A7" s="1">
        <v>73</v>
      </c>
      <c r="E7" s="1">
        <v>78</v>
      </c>
    </row>
    <row r="12" spans="1:5" ht="21.75" customHeight="1" x14ac:dyDescent="0.4">
      <c r="A12" s="1" t="s">
        <v>158</v>
      </c>
    </row>
    <row r="26" spans="1:7" ht="21.75" customHeight="1" x14ac:dyDescent="0.4">
      <c r="A26" s="1" t="s">
        <v>158</v>
      </c>
      <c r="G26" s="1">
        <v>85</v>
      </c>
    </row>
    <row r="44" spans="1:5" ht="21.75" customHeight="1" x14ac:dyDescent="0.4">
      <c r="A44" s="1" t="s">
        <v>173</v>
      </c>
      <c r="E44" s="1">
        <v>90</v>
      </c>
    </row>
    <row r="59" spans="1:5" ht="21.75" customHeight="1" x14ac:dyDescent="0.4">
      <c r="A59" s="98">
        <v>119.12</v>
      </c>
      <c r="E59" s="1">
        <v>118.121</v>
      </c>
    </row>
  </sheetData>
  <phoneticPr fontId="2" type="noConversion"/>
  <pageMargins left="0.75" right="0.75" top="1" bottom="1" header="0.5" footer="0.5"/>
  <pageSetup paperSize="9" orientation="portrait" horizontalDpi="180" verticalDpi="18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J43"/>
  <sheetViews>
    <sheetView topLeftCell="A28" zoomScale="90" zoomScaleNormal="90" workbookViewId="0">
      <selection activeCell="J54" sqref="J54"/>
    </sheetView>
  </sheetViews>
  <sheetFormatPr defaultRowHeight="17" x14ac:dyDescent="0.4"/>
  <cols>
    <col min="1" max="1" width="4.36328125" customWidth="1"/>
    <col min="2" max="2" width="7" customWidth="1"/>
    <col min="6" max="6" width="27.26953125" bestFit="1" customWidth="1"/>
    <col min="7" max="7" width="12.6328125" bestFit="1" customWidth="1"/>
    <col min="8" max="8" width="11.08984375" bestFit="1" customWidth="1"/>
    <col min="9" max="9" width="13.7265625" bestFit="1" customWidth="1"/>
  </cols>
  <sheetData>
    <row r="1" spans="1:9" s="45" customFormat="1" ht="33" customHeight="1" x14ac:dyDescent="0.4">
      <c r="A1" s="799" t="s">
        <v>90</v>
      </c>
      <c r="B1" s="799"/>
      <c r="C1" s="799"/>
      <c r="D1" s="799"/>
      <c r="E1" s="799"/>
      <c r="F1" s="799"/>
      <c r="G1" s="799"/>
      <c r="H1" s="799"/>
      <c r="I1" s="799"/>
    </row>
    <row r="2" spans="1:9" s="51" customFormat="1" ht="33" customHeight="1" x14ac:dyDescent="0.4">
      <c r="A2" s="46" t="s">
        <v>1</v>
      </c>
      <c r="B2" s="46" t="s">
        <v>2</v>
      </c>
      <c r="C2" s="47" t="s">
        <v>34</v>
      </c>
      <c r="D2" s="48" t="s">
        <v>146</v>
      </c>
      <c r="E2" s="46" t="s">
        <v>102</v>
      </c>
      <c r="F2" s="48" t="s">
        <v>114</v>
      </c>
      <c r="G2" s="49" t="s">
        <v>36</v>
      </c>
      <c r="H2" s="50" t="s">
        <v>426</v>
      </c>
      <c r="I2" s="50" t="s">
        <v>7</v>
      </c>
    </row>
    <row r="3" spans="1:9" s="56" customFormat="1" ht="35.15" customHeight="1" x14ac:dyDescent="0.4">
      <c r="A3" s="52">
        <v>25</v>
      </c>
      <c r="B3" s="52" t="s">
        <v>111</v>
      </c>
      <c r="C3" s="47" t="s">
        <v>75</v>
      </c>
      <c r="D3" s="52" t="s">
        <v>11</v>
      </c>
      <c r="E3" s="52" t="s">
        <v>105</v>
      </c>
      <c r="F3" s="53" t="s">
        <v>124</v>
      </c>
      <c r="G3" s="54" t="s">
        <v>76</v>
      </c>
      <c r="H3" s="50" t="s">
        <v>428</v>
      </c>
      <c r="I3" s="57"/>
    </row>
    <row r="4" spans="1:9" ht="35.15" customHeight="1" x14ac:dyDescent="0.4">
      <c r="A4" s="52">
        <v>38</v>
      </c>
      <c r="B4" s="52" t="s">
        <v>111</v>
      </c>
      <c r="C4" s="47" t="s">
        <v>80</v>
      </c>
      <c r="D4" s="52" t="s">
        <v>11</v>
      </c>
      <c r="E4" s="52" t="s">
        <v>104</v>
      </c>
      <c r="F4" s="53" t="s">
        <v>222</v>
      </c>
      <c r="G4" s="58" t="s">
        <v>81</v>
      </c>
      <c r="H4" s="50" t="s">
        <v>427</v>
      </c>
      <c r="I4" s="55" t="s">
        <v>430</v>
      </c>
    </row>
    <row r="5" spans="1:9" ht="35.15" customHeight="1" x14ac:dyDescent="0.4">
      <c r="A5" s="52">
        <v>57</v>
      </c>
      <c r="B5" s="52" t="s">
        <v>8</v>
      </c>
      <c r="C5" s="814" t="s">
        <v>18</v>
      </c>
      <c r="D5" s="52" t="s">
        <v>11</v>
      </c>
      <c r="E5" s="52" t="s">
        <v>104</v>
      </c>
      <c r="F5" s="53" t="s">
        <v>223</v>
      </c>
      <c r="G5" s="58" t="s">
        <v>91</v>
      </c>
      <c r="H5" s="802" t="s">
        <v>429</v>
      </c>
      <c r="I5" s="57"/>
    </row>
    <row r="6" spans="1:9" ht="35.15" customHeight="1" x14ac:dyDescent="0.4">
      <c r="A6" s="46">
        <v>42</v>
      </c>
      <c r="B6" s="52" t="s">
        <v>111</v>
      </c>
      <c r="C6" s="801"/>
      <c r="D6" s="52" t="s">
        <v>11</v>
      </c>
      <c r="E6" s="52" t="s">
        <v>104</v>
      </c>
      <c r="F6" s="53" t="s">
        <v>225</v>
      </c>
      <c r="G6" s="58" t="s">
        <v>95</v>
      </c>
      <c r="H6" s="803"/>
      <c r="I6" s="55"/>
    </row>
    <row r="7" spans="1:9" ht="35.15" customHeight="1" x14ac:dyDescent="0.4">
      <c r="A7" s="52">
        <v>26</v>
      </c>
      <c r="B7" s="52" t="s">
        <v>111</v>
      </c>
      <c r="C7" s="60" t="s">
        <v>82</v>
      </c>
      <c r="D7" s="52" t="s">
        <v>11</v>
      </c>
      <c r="E7" s="52" t="s">
        <v>104</v>
      </c>
      <c r="F7" s="53" t="s">
        <v>224</v>
      </c>
      <c r="G7" s="58" t="s">
        <v>83</v>
      </c>
      <c r="H7" s="50" t="s">
        <v>431</v>
      </c>
      <c r="I7" s="57"/>
    </row>
    <row r="8" spans="1:9" ht="35.15" customHeight="1" x14ac:dyDescent="0.4">
      <c r="A8" s="52">
        <v>50</v>
      </c>
      <c r="B8" s="59" t="s">
        <v>8</v>
      </c>
      <c r="C8" s="83" t="s">
        <v>93</v>
      </c>
      <c r="D8" s="59" t="s">
        <v>9</v>
      </c>
      <c r="E8" s="59" t="s">
        <v>105</v>
      </c>
      <c r="F8" s="61" t="s">
        <v>126</v>
      </c>
      <c r="G8" s="58" t="s">
        <v>92</v>
      </c>
      <c r="H8" s="50" t="s">
        <v>432</v>
      </c>
      <c r="I8" s="62"/>
    </row>
    <row r="9" spans="1:9" ht="35.15" customHeight="1" x14ac:dyDescent="0.4">
      <c r="A9" s="59">
        <v>66</v>
      </c>
      <c r="B9" s="59" t="s">
        <v>97</v>
      </c>
      <c r="C9" s="118" t="s">
        <v>433</v>
      </c>
      <c r="D9" s="59" t="s">
        <v>14</v>
      </c>
      <c r="E9" s="59" t="s">
        <v>104</v>
      </c>
      <c r="F9" s="61" t="s">
        <v>127</v>
      </c>
      <c r="G9" s="58" t="s">
        <v>94</v>
      </c>
      <c r="H9" s="50" t="s">
        <v>434</v>
      </c>
      <c r="I9" s="63"/>
    </row>
    <row r="10" spans="1:9" ht="35.15" customHeight="1" x14ac:dyDescent="0.4">
      <c r="A10" s="52">
        <v>77</v>
      </c>
      <c r="B10" s="55" t="s">
        <v>8</v>
      </c>
      <c r="C10" s="47" t="s">
        <v>436</v>
      </c>
      <c r="D10" s="64" t="s">
        <v>11</v>
      </c>
      <c r="E10" s="52" t="s">
        <v>105</v>
      </c>
      <c r="F10" s="53" t="s">
        <v>137</v>
      </c>
      <c r="G10" s="58" t="s">
        <v>153</v>
      </c>
      <c r="H10" s="50" t="s">
        <v>435</v>
      </c>
      <c r="I10" s="57"/>
    </row>
    <row r="11" spans="1:9" ht="35.15" customHeight="1" x14ac:dyDescent="0.4">
      <c r="A11" s="17">
        <v>58</v>
      </c>
      <c r="B11" s="55" t="s">
        <v>8</v>
      </c>
      <c r="C11" s="47" t="s">
        <v>138</v>
      </c>
      <c r="D11" s="64" t="s">
        <v>11</v>
      </c>
      <c r="E11" s="52" t="s">
        <v>108</v>
      </c>
      <c r="F11" s="53" t="s">
        <v>134</v>
      </c>
      <c r="G11" s="58" t="s">
        <v>155</v>
      </c>
      <c r="H11" s="50" t="s">
        <v>437</v>
      </c>
      <c r="I11" s="57"/>
    </row>
    <row r="12" spans="1:9" ht="35.15" customHeight="1" x14ac:dyDescent="0.4">
      <c r="A12" s="52">
        <v>68</v>
      </c>
      <c r="B12" s="55" t="s">
        <v>78</v>
      </c>
      <c r="C12" s="47" t="s">
        <v>154</v>
      </c>
      <c r="D12" s="64" t="s">
        <v>11</v>
      </c>
      <c r="E12" s="52" t="s">
        <v>105</v>
      </c>
      <c r="F12" s="53" t="s">
        <v>132</v>
      </c>
      <c r="G12" s="58" t="s">
        <v>140</v>
      </c>
      <c r="H12" s="50" t="s">
        <v>438</v>
      </c>
      <c r="I12" s="57"/>
    </row>
    <row r="13" spans="1:9" ht="35.15" customHeight="1" x14ac:dyDescent="0.4">
      <c r="A13" s="52">
        <v>83</v>
      </c>
      <c r="B13" s="55" t="s">
        <v>8</v>
      </c>
      <c r="C13" s="807" t="s">
        <v>160</v>
      </c>
      <c r="D13" s="64" t="s">
        <v>11</v>
      </c>
      <c r="E13" s="52" t="s">
        <v>105</v>
      </c>
      <c r="F13" s="53" t="s">
        <v>144</v>
      </c>
      <c r="G13" s="58" t="s">
        <v>161</v>
      </c>
      <c r="H13" s="802" t="s">
        <v>439</v>
      </c>
      <c r="I13" s="816"/>
    </row>
    <row r="14" spans="1:9" ht="35.15" customHeight="1" x14ac:dyDescent="0.4">
      <c r="A14" s="17">
        <v>106</v>
      </c>
      <c r="B14" s="3" t="s">
        <v>8</v>
      </c>
      <c r="C14" s="808"/>
      <c r="D14" s="3" t="s">
        <v>11</v>
      </c>
      <c r="E14" s="17" t="s">
        <v>204</v>
      </c>
      <c r="F14" s="19" t="s">
        <v>425</v>
      </c>
      <c r="G14" s="58" t="s">
        <v>317</v>
      </c>
      <c r="H14" s="803"/>
      <c r="I14" s="813"/>
    </row>
    <row r="15" spans="1:9" ht="35.15" customHeight="1" x14ac:dyDescent="0.4">
      <c r="A15" s="52">
        <v>84</v>
      </c>
      <c r="B15" s="55" t="s">
        <v>8</v>
      </c>
      <c r="C15" s="58" t="s">
        <v>151</v>
      </c>
      <c r="D15" s="64" t="s">
        <v>11</v>
      </c>
      <c r="E15" s="52" t="s">
        <v>105</v>
      </c>
      <c r="F15" s="53" t="s">
        <v>145</v>
      </c>
      <c r="G15" s="58" t="s">
        <v>164</v>
      </c>
      <c r="H15" s="50" t="s">
        <v>440</v>
      </c>
      <c r="I15" s="57"/>
    </row>
    <row r="16" spans="1:9" ht="35.15" customHeight="1" x14ac:dyDescent="0.4">
      <c r="A16" s="46">
        <v>33</v>
      </c>
      <c r="B16" s="59" t="s">
        <v>111</v>
      </c>
      <c r="C16" s="47" t="s">
        <v>163</v>
      </c>
      <c r="D16" s="65" t="s">
        <v>11</v>
      </c>
      <c r="E16" s="59" t="s">
        <v>105</v>
      </c>
      <c r="F16" s="66" t="s">
        <v>228</v>
      </c>
      <c r="G16" s="58" t="s">
        <v>168</v>
      </c>
      <c r="H16" s="50" t="s">
        <v>441</v>
      </c>
      <c r="I16" s="67"/>
    </row>
    <row r="17" spans="1:9" ht="35.15" customHeight="1" x14ac:dyDescent="0.4">
      <c r="A17" s="52">
        <v>67</v>
      </c>
      <c r="B17" s="62" t="s">
        <v>78</v>
      </c>
      <c r="C17" s="87" t="s">
        <v>178</v>
      </c>
      <c r="D17" s="52" t="s">
        <v>11</v>
      </c>
      <c r="E17" s="59" t="s">
        <v>105</v>
      </c>
      <c r="F17" s="61" t="s">
        <v>177</v>
      </c>
      <c r="G17" s="58" t="s">
        <v>179</v>
      </c>
      <c r="H17" s="50" t="s">
        <v>442</v>
      </c>
      <c r="I17" s="63"/>
    </row>
    <row r="18" spans="1:9" ht="35.15" customHeight="1" x14ac:dyDescent="0.4">
      <c r="A18" s="46">
        <v>73</v>
      </c>
      <c r="B18" s="59" t="s">
        <v>111</v>
      </c>
      <c r="C18" s="86" t="s">
        <v>99</v>
      </c>
      <c r="D18" s="52" t="s">
        <v>11</v>
      </c>
      <c r="E18" s="52" t="s">
        <v>104</v>
      </c>
      <c r="F18" s="53" t="s">
        <v>165</v>
      </c>
      <c r="G18" s="58" t="s">
        <v>172</v>
      </c>
      <c r="H18" s="50" t="s">
        <v>443</v>
      </c>
      <c r="I18" s="67"/>
    </row>
    <row r="19" spans="1:9" ht="35.15" customHeight="1" x14ac:dyDescent="0.4">
      <c r="A19" s="52">
        <v>72</v>
      </c>
      <c r="B19" s="55" t="s">
        <v>111</v>
      </c>
      <c r="C19" s="47" t="s">
        <v>170</v>
      </c>
      <c r="D19" s="64" t="s">
        <v>11</v>
      </c>
      <c r="E19" s="52" t="s">
        <v>105</v>
      </c>
      <c r="F19" s="53" t="s">
        <v>130</v>
      </c>
      <c r="G19" s="58" t="s">
        <v>181</v>
      </c>
      <c r="H19" s="50" t="s">
        <v>444</v>
      </c>
      <c r="I19" s="57"/>
    </row>
    <row r="20" spans="1:9" ht="35.15" customHeight="1" x14ac:dyDescent="0.4">
      <c r="A20" s="59">
        <v>80</v>
      </c>
      <c r="B20" s="62" t="s">
        <v>8</v>
      </c>
      <c r="C20" s="70" t="s">
        <v>188</v>
      </c>
      <c r="D20" s="88" t="s">
        <v>11</v>
      </c>
      <c r="E20" s="59" t="s">
        <v>105</v>
      </c>
      <c r="F20" s="61" t="s">
        <v>142</v>
      </c>
      <c r="G20" s="65" t="s">
        <v>187</v>
      </c>
      <c r="H20" s="50" t="s">
        <v>445</v>
      </c>
      <c r="I20" s="71"/>
    </row>
    <row r="21" spans="1:9" ht="35.15" customHeight="1" x14ac:dyDescent="0.4">
      <c r="A21" s="811">
        <v>35</v>
      </c>
      <c r="B21" s="811" t="s">
        <v>111</v>
      </c>
      <c r="C21" s="815" t="s">
        <v>184</v>
      </c>
      <c r="D21" s="811" t="s">
        <v>11</v>
      </c>
      <c r="E21" s="811" t="s">
        <v>105</v>
      </c>
      <c r="F21" s="809" t="s">
        <v>229</v>
      </c>
      <c r="G21" s="811" t="s">
        <v>190</v>
      </c>
      <c r="H21" s="802" t="s">
        <v>446</v>
      </c>
      <c r="I21" s="812"/>
    </row>
    <row r="22" spans="1:9" ht="12" customHeight="1" x14ac:dyDescent="0.4">
      <c r="A22" s="808"/>
      <c r="B22" s="808"/>
      <c r="C22" s="808"/>
      <c r="D22" s="808"/>
      <c r="E22" s="808"/>
      <c r="F22" s="810"/>
      <c r="G22" s="808"/>
      <c r="H22" s="803"/>
      <c r="I22" s="813"/>
    </row>
    <row r="23" spans="1:9" ht="35.15" customHeight="1" x14ac:dyDescent="0.4">
      <c r="A23" s="46">
        <v>37</v>
      </c>
      <c r="B23" s="46" t="s">
        <v>203</v>
      </c>
      <c r="C23" s="47" t="s">
        <v>202</v>
      </c>
      <c r="D23" s="46" t="s">
        <v>200</v>
      </c>
      <c r="E23" s="46" t="s">
        <v>201</v>
      </c>
      <c r="F23" s="69" t="s">
        <v>199</v>
      </c>
      <c r="G23" s="58" t="s">
        <v>231</v>
      </c>
      <c r="H23" s="50" t="s">
        <v>447</v>
      </c>
      <c r="I23" s="67"/>
    </row>
    <row r="24" spans="1:9" ht="35.15" customHeight="1" x14ac:dyDescent="0.4">
      <c r="A24" s="68"/>
      <c r="B24" s="68"/>
      <c r="C24" s="85" t="s">
        <v>180</v>
      </c>
      <c r="D24" s="46" t="s">
        <v>11</v>
      </c>
      <c r="E24" s="46" t="s">
        <v>105</v>
      </c>
      <c r="F24" s="69" t="s">
        <v>273</v>
      </c>
      <c r="G24" s="58" t="s">
        <v>275</v>
      </c>
      <c r="H24" s="50" t="s">
        <v>448</v>
      </c>
      <c r="I24" s="67"/>
    </row>
    <row r="25" spans="1:9" ht="35.15" customHeight="1" x14ac:dyDescent="0.4">
      <c r="A25" s="17">
        <v>49</v>
      </c>
      <c r="B25" s="62" t="s">
        <v>111</v>
      </c>
      <c r="C25" s="84" t="s">
        <v>233</v>
      </c>
      <c r="D25" s="65" t="s">
        <v>234</v>
      </c>
      <c r="E25" s="59" t="s">
        <v>105</v>
      </c>
      <c r="F25" s="66" t="s">
        <v>236</v>
      </c>
      <c r="G25" s="65" t="s">
        <v>237</v>
      </c>
      <c r="H25" s="50" t="s">
        <v>449</v>
      </c>
      <c r="I25" s="62"/>
    </row>
    <row r="26" spans="1:9" ht="35.15" customHeight="1" x14ac:dyDescent="0.4">
      <c r="A26" s="46">
        <v>99</v>
      </c>
      <c r="B26" s="46" t="s">
        <v>186</v>
      </c>
      <c r="C26" s="73" t="s">
        <v>239</v>
      </c>
      <c r="D26" s="46" t="s">
        <v>14</v>
      </c>
      <c r="E26" s="72" t="s">
        <v>104</v>
      </c>
      <c r="F26" s="69" t="s">
        <v>242</v>
      </c>
      <c r="G26" s="89" t="s">
        <v>244</v>
      </c>
      <c r="H26" s="50" t="s">
        <v>450</v>
      </c>
      <c r="I26" s="67"/>
    </row>
    <row r="27" spans="1:9" ht="35.15" customHeight="1" x14ac:dyDescent="0.4">
      <c r="A27" s="46">
        <v>105</v>
      </c>
      <c r="B27" s="46" t="s">
        <v>8</v>
      </c>
      <c r="C27" s="47" t="s">
        <v>320</v>
      </c>
      <c r="D27" s="18" t="s">
        <v>14</v>
      </c>
      <c r="E27" s="59" t="s">
        <v>105</v>
      </c>
      <c r="F27" s="19" t="s">
        <v>247</v>
      </c>
      <c r="G27" s="58" t="s">
        <v>249</v>
      </c>
      <c r="H27" s="50" t="s">
        <v>451</v>
      </c>
      <c r="I27" s="67"/>
    </row>
    <row r="28" spans="1:9" ht="35.15" customHeight="1" x14ac:dyDescent="0.4">
      <c r="A28" s="80">
        <v>110</v>
      </c>
      <c r="B28" s="46" t="s">
        <v>8</v>
      </c>
      <c r="C28" s="47" t="s">
        <v>257</v>
      </c>
      <c r="D28" s="46" t="s">
        <v>200</v>
      </c>
      <c r="E28" s="4" t="s">
        <v>105</v>
      </c>
      <c r="F28" s="69" t="s">
        <v>255</v>
      </c>
      <c r="G28" s="58" t="s">
        <v>256</v>
      </c>
      <c r="H28" s="50" t="s">
        <v>452</v>
      </c>
      <c r="I28" s="81"/>
    </row>
    <row r="29" spans="1:9" ht="35.15" customHeight="1" x14ac:dyDescent="0.4">
      <c r="A29" s="80">
        <v>69</v>
      </c>
      <c r="B29" s="46" t="s">
        <v>78</v>
      </c>
      <c r="C29" s="47" t="s">
        <v>269</v>
      </c>
      <c r="D29" s="46" t="s">
        <v>11</v>
      </c>
      <c r="E29" s="46" t="s">
        <v>105</v>
      </c>
      <c r="F29" s="69" t="s">
        <v>267</v>
      </c>
      <c r="G29" s="58" t="s">
        <v>271</v>
      </c>
      <c r="H29" s="50" t="s">
        <v>453</v>
      </c>
      <c r="I29" s="26"/>
    </row>
    <row r="30" spans="1:9" ht="35.15" customHeight="1" x14ac:dyDescent="0.4">
      <c r="A30" s="17">
        <v>79</v>
      </c>
      <c r="B30" s="3" t="s">
        <v>8</v>
      </c>
      <c r="C30" s="47" t="s">
        <v>279</v>
      </c>
      <c r="D30" s="18" t="s">
        <v>11</v>
      </c>
      <c r="E30" s="17" t="s">
        <v>105</v>
      </c>
      <c r="F30" s="19" t="s">
        <v>141</v>
      </c>
      <c r="G30" s="58" t="s">
        <v>280</v>
      </c>
      <c r="H30" s="50" t="s">
        <v>454</v>
      </c>
      <c r="I30" s="35"/>
    </row>
    <row r="31" spans="1:9" ht="35.15" customHeight="1" x14ac:dyDescent="0.4">
      <c r="A31" s="17">
        <v>122</v>
      </c>
      <c r="B31" s="3" t="s">
        <v>291</v>
      </c>
      <c r="C31" s="47" t="s">
        <v>295</v>
      </c>
      <c r="D31" s="18" t="s">
        <v>294</v>
      </c>
      <c r="E31" s="17" t="s">
        <v>105</v>
      </c>
      <c r="F31" s="19" t="s">
        <v>292</v>
      </c>
      <c r="G31" s="58" t="s">
        <v>296</v>
      </c>
      <c r="H31" s="50" t="s">
        <v>455</v>
      </c>
      <c r="I31" s="3"/>
    </row>
    <row r="32" spans="1:9" ht="35.15" customHeight="1" x14ac:dyDescent="0.4">
      <c r="A32" s="17">
        <v>103</v>
      </c>
      <c r="B32" s="3" t="s">
        <v>8</v>
      </c>
      <c r="C32" s="47" t="s">
        <v>297</v>
      </c>
      <c r="D32" s="3" t="s">
        <v>11</v>
      </c>
      <c r="E32" s="3" t="s">
        <v>204</v>
      </c>
      <c r="F32" s="115" t="s">
        <v>205</v>
      </c>
      <c r="G32" s="58" t="s">
        <v>298</v>
      </c>
      <c r="H32" s="50" t="s">
        <v>456</v>
      </c>
      <c r="I32" s="3"/>
    </row>
    <row r="33" spans="1:10" ht="35.15" customHeight="1" x14ac:dyDescent="0.4">
      <c r="A33" s="3">
        <v>126</v>
      </c>
      <c r="B33" s="3" t="s">
        <v>8</v>
      </c>
      <c r="C33" s="47" t="s">
        <v>316</v>
      </c>
      <c r="D33" s="3" t="s">
        <v>11</v>
      </c>
      <c r="E33" s="17" t="s">
        <v>105</v>
      </c>
      <c r="F33" s="19" t="s">
        <v>306</v>
      </c>
      <c r="G33" s="58" t="s">
        <v>319</v>
      </c>
      <c r="H33" s="50" t="s">
        <v>457</v>
      </c>
      <c r="I33" s="3"/>
    </row>
    <row r="34" spans="1:10" ht="35.15" customHeight="1" x14ac:dyDescent="0.4">
      <c r="A34" s="17">
        <v>47</v>
      </c>
      <c r="B34" s="18" t="s">
        <v>299</v>
      </c>
      <c r="C34" s="47" t="s">
        <v>321</v>
      </c>
      <c r="D34" s="18" t="s">
        <v>14</v>
      </c>
      <c r="E34" s="18" t="s">
        <v>108</v>
      </c>
      <c r="F34" s="36" t="s">
        <v>335</v>
      </c>
      <c r="G34" s="58" t="s">
        <v>322</v>
      </c>
      <c r="H34" s="50" t="s">
        <v>458</v>
      </c>
      <c r="I34" s="18"/>
    </row>
    <row r="35" spans="1:10" ht="35.15" customHeight="1" x14ac:dyDescent="0.4">
      <c r="A35" s="7">
        <v>131</v>
      </c>
      <c r="B35" s="3" t="s">
        <v>8</v>
      </c>
      <c r="C35" s="47" t="s">
        <v>336</v>
      </c>
      <c r="D35" s="18" t="s">
        <v>11</v>
      </c>
      <c r="E35" s="17" t="s">
        <v>105</v>
      </c>
      <c r="F35" s="19" t="s">
        <v>339</v>
      </c>
      <c r="G35" s="58" t="s">
        <v>338</v>
      </c>
      <c r="H35" s="50" t="s">
        <v>459</v>
      </c>
      <c r="I35" s="3"/>
    </row>
    <row r="36" spans="1:10" ht="35.15" customHeight="1" x14ac:dyDescent="0.4">
      <c r="A36" s="125">
        <v>137</v>
      </c>
      <c r="B36" s="126" t="s">
        <v>186</v>
      </c>
      <c r="C36" s="47" t="s">
        <v>348</v>
      </c>
      <c r="D36" s="127" t="s">
        <v>200</v>
      </c>
      <c r="E36" s="125" t="s">
        <v>105</v>
      </c>
      <c r="F36" s="128" t="s">
        <v>349</v>
      </c>
      <c r="G36" s="58" t="s">
        <v>357</v>
      </c>
      <c r="H36" s="50" t="s">
        <v>460</v>
      </c>
      <c r="I36" s="126"/>
    </row>
    <row r="37" spans="1:10" ht="35.15" customHeight="1" x14ac:dyDescent="0.4">
      <c r="A37" s="125">
        <v>78</v>
      </c>
      <c r="B37" s="126" t="s">
        <v>353</v>
      </c>
      <c r="C37" s="47" t="s">
        <v>354</v>
      </c>
      <c r="D37" s="127" t="s">
        <v>250</v>
      </c>
      <c r="E37" s="125" t="s">
        <v>105</v>
      </c>
      <c r="F37" s="128" t="s">
        <v>355</v>
      </c>
      <c r="G37" s="58" t="s">
        <v>358</v>
      </c>
      <c r="H37" s="50" t="s">
        <v>461</v>
      </c>
      <c r="I37" s="126"/>
    </row>
    <row r="38" spans="1:10" ht="35.15" customHeight="1" x14ac:dyDescent="0.4">
      <c r="A38" s="125">
        <v>132</v>
      </c>
      <c r="B38" s="3" t="s">
        <v>8</v>
      </c>
      <c r="C38" s="800" t="s">
        <v>359</v>
      </c>
      <c r="D38" s="18" t="s">
        <v>11</v>
      </c>
      <c r="E38" s="17" t="s">
        <v>105</v>
      </c>
      <c r="F38" s="19" t="s">
        <v>332</v>
      </c>
      <c r="G38" s="58" t="s">
        <v>360</v>
      </c>
      <c r="H38" s="802" t="s">
        <v>462</v>
      </c>
      <c r="I38" s="804"/>
    </row>
    <row r="39" spans="1:10" ht="35.15" customHeight="1" x14ac:dyDescent="0.4">
      <c r="A39" s="125">
        <v>94</v>
      </c>
      <c r="B39" s="152" t="s">
        <v>111</v>
      </c>
      <c r="C39" s="801"/>
      <c r="D39" s="127" t="s">
        <v>11</v>
      </c>
      <c r="E39" s="125" t="s">
        <v>105</v>
      </c>
      <c r="F39" s="128" t="s">
        <v>191</v>
      </c>
      <c r="G39" s="58" t="s">
        <v>410</v>
      </c>
      <c r="H39" s="803"/>
      <c r="I39" s="805"/>
    </row>
    <row r="40" spans="1:10" ht="35.15" customHeight="1" x14ac:dyDescent="0.4">
      <c r="A40" s="125">
        <v>107</v>
      </c>
      <c r="B40" s="3" t="s">
        <v>8</v>
      </c>
      <c r="C40" s="47" t="s">
        <v>363</v>
      </c>
      <c r="D40" s="127" t="s">
        <v>9</v>
      </c>
      <c r="E40" s="125" t="s">
        <v>204</v>
      </c>
      <c r="F40" s="128" t="s">
        <v>207</v>
      </c>
      <c r="G40" s="58" t="s">
        <v>364</v>
      </c>
      <c r="H40" s="50" t="s">
        <v>463</v>
      </c>
      <c r="I40" s="134"/>
    </row>
    <row r="41" spans="1:10" ht="35.15" customHeight="1" x14ac:dyDescent="0.4">
      <c r="A41" s="125">
        <v>135</v>
      </c>
      <c r="B41" s="126" t="s">
        <v>186</v>
      </c>
      <c r="C41" s="47" t="s">
        <v>367</v>
      </c>
      <c r="D41" s="127" t="s">
        <v>14</v>
      </c>
      <c r="E41" s="125" t="s">
        <v>343</v>
      </c>
      <c r="F41" s="128" t="s">
        <v>345</v>
      </c>
      <c r="G41" s="58" t="s">
        <v>368</v>
      </c>
      <c r="H41" s="50" t="s">
        <v>464</v>
      </c>
      <c r="I41" s="126"/>
    </row>
    <row r="43" spans="1:10" ht="27.5" x14ac:dyDescent="0.4">
      <c r="A43" s="806"/>
      <c r="B43" s="806"/>
      <c r="C43" s="806"/>
      <c r="D43" s="806"/>
      <c r="E43" s="806"/>
      <c r="F43" s="806"/>
      <c r="G43" s="806"/>
      <c r="H43" s="806"/>
      <c r="I43" s="806"/>
      <c r="J43" s="806"/>
    </row>
  </sheetData>
  <mergeCells count="19">
    <mergeCell ref="H5:H6"/>
    <mergeCell ref="H21:H22"/>
    <mergeCell ref="H13:H14"/>
    <mergeCell ref="A1:I1"/>
    <mergeCell ref="C5:C6"/>
    <mergeCell ref="C21:C22"/>
    <mergeCell ref="A21:A22"/>
    <mergeCell ref="B21:B22"/>
    <mergeCell ref="D21:D22"/>
    <mergeCell ref="E21:E22"/>
    <mergeCell ref="I13:I14"/>
    <mergeCell ref="C38:C39"/>
    <mergeCell ref="H38:H39"/>
    <mergeCell ref="I38:I39"/>
    <mergeCell ref="A43:J43"/>
    <mergeCell ref="C13:C14"/>
    <mergeCell ref="F21:F22"/>
    <mergeCell ref="G21:G22"/>
    <mergeCell ref="I21:I22"/>
  </mergeCells>
  <phoneticPr fontId="2" type="noConversion"/>
  <printOptions horizontalCentered="1"/>
  <pageMargins left="0" right="0" top="0" bottom="0" header="0" footer="0"/>
  <pageSetup paperSize="9" scale="90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Q16"/>
  <sheetViews>
    <sheetView workbookViewId="0">
      <selection activeCell="I12" sqref="I12"/>
    </sheetView>
  </sheetViews>
  <sheetFormatPr defaultRowHeight="17" x14ac:dyDescent="0.4"/>
  <cols>
    <col min="1" max="1" width="5.08984375" bestFit="1" customWidth="1"/>
    <col min="3" max="4" width="10.26953125" bestFit="1" customWidth="1"/>
    <col min="5" max="5" width="28.7265625" bestFit="1" customWidth="1"/>
    <col min="6" max="6" width="10.90625" bestFit="1" customWidth="1"/>
    <col min="7" max="7" width="10.26953125" bestFit="1" customWidth="1"/>
    <col min="8" max="8" width="9.453125" bestFit="1" customWidth="1"/>
    <col min="9" max="9" width="21.90625" bestFit="1" customWidth="1"/>
    <col min="10" max="10" width="8.26953125" style="452" bestFit="1" customWidth="1"/>
    <col min="13" max="13" width="16.453125" bestFit="1" customWidth="1"/>
    <col min="14" max="14" width="10.26953125" bestFit="1" customWidth="1"/>
  </cols>
  <sheetData>
    <row r="1" spans="1:17" s="2" customFormat="1" ht="27.75" customHeight="1" x14ac:dyDescent="0.4">
      <c r="A1" s="3" t="s">
        <v>1</v>
      </c>
      <c r="B1" s="3" t="s">
        <v>2</v>
      </c>
      <c r="C1" s="4" t="s">
        <v>146</v>
      </c>
      <c r="D1" s="5" t="s">
        <v>102</v>
      </c>
      <c r="E1" s="4"/>
      <c r="F1" s="6" t="s">
        <v>159</v>
      </c>
      <c r="G1" s="7" t="s">
        <v>4</v>
      </c>
      <c r="H1" s="8" t="s">
        <v>113</v>
      </c>
      <c r="I1" s="9" t="s">
        <v>112</v>
      </c>
      <c r="J1" s="446" t="s">
        <v>979</v>
      </c>
      <c r="K1" s="10" t="s">
        <v>5</v>
      </c>
      <c r="L1" s="11" t="s">
        <v>6</v>
      </c>
      <c r="M1" s="12" t="s">
        <v>7</v>
      </c>
      <c r="N1" s="5"/>
    </row>
    <row r="2" spans="1:17" s="300" customFormat="1" ht="32.25" customHeight="1" x14ac:dyDescent="0.4">
      <c r="A2" s="155">
        <v>227</v>
      </c>
      <c r="B2" s="152" t="s">
        <v>659</v>
      </c>
      <c r="C2" s="172" t="s">
        <v>9</v>
      </c>
      <c r="D2" s="155" t="s">
        <v>741</v>
      </c>
      <c r="E2" s="180"/>
      <c r="F2" s="177" t="s">
        <v>858</v>
      </c>
      <c r="G2" s="172"/>
      <c r="H2" s="172"/>
      <c r="I2" s="172"/>
      <c r="J2" s="447"/>
      <c r="K2" s="190">
        <v>3</v>
      </c>
      <c r="L2" s="132"/>
      <c r="M2" s="152"/>
      <c r="N2" s="155" t="s">
        <v>10</v>
      </c>
      <c r="O2" s="157"/>
      <c r="P2" s="157"/>
    </row>
    <row r="3" spans="1:17" s="122" customFormat="1" ht="32.25" customHeight="1" x14ac:dyDescent="0.4">
      <c r="A3" s="90">
        <v>229</v>
      </c>
      <c r="B3" s="91" t="s">
        <v>489</v>
      </c>
      <c r="C3" s="92" t="s">
        <v>633</v>
      </c>
      <c r="D3" s="90" t="s">
        <v>103</v>
      </c>
      <c r="E3" s="93" t="s">
        <v>877</v>
      </c>
      <c r="F3" s="94" t="s">
        <v>868</v>
      </c>
      <c r="G3" s="121" t="s">
        <v>128</v>
      </c>
      <c r="H3" s="121" t="s">
        <v>870</v>
      </c>
      <c r="I3" s="92" t="s">
        <v>874</v>
      </c>
      <c r="J3" s="445">
        <v>14000</v>
      </c>
      <c r="K3" s="95">
        <v>3</v>
      </c>
      <c r="L3" s="96">
        <v>5000</v>
      </c>
      <c r="M3" s="97" t="s">
        <v>869</v>
      </c>
      <c r="N3" s="90" t="s">
        <v>815</v>
      </c>
    </row>
    <row r="4" spans="1:17" s="2" customFormat="1" ht="32.25" customHeight="1" x14ac:dyDescent="0.4">
      <c r="A4" s="5">
        <v>230</v>
      </c>
      <c r="B4" s="33" t="s">
        <v>489</v>
      </c>
      <c r="C4" s="4" t="s">
        <v>633</v>
      </c>
      <c r="D4" s="5" t="s">
        <v>105</v>
      </c>
      <c r="E4" s="36" t="s">
        <v>937</v>
      </c>
      <c r="F4" s="34" t="s">
        <v>875</v>
      </c>
      <c r="G4" s="7"/>
      <c r="H4" s="7"/>
      <c r="I4" s="4"/>
      <c r="J4" s="448"/>
      <c r="K4" s="379">
        <v>2</v>
      </c>
      <c r="L4" s="82">
        <v>3000</v>
      </c>
      <c r="M4" s="123">
        <v>2012.03</v>
      </c>
      <c r="N4" s="5" t="s">
        <v>666</v>
      </c>
    </row>
    <row r="5" spans="1:17" s="2" customFormat="1" ht="32.25" customHeight="1" x14ac:dyDescent="0.4">
      <c r="A5" s="5">
        <v>231</v>
      </c>
      <c r="B5" s="33" t="s">
        <v>489</v>
      </c>
      <c r="C5" s="4" t="s">
        <v>633</v>
      </c>
      <c r="D5" s="5" t="s">
        <v>105</v>
      </c>
      <c r="E5" s="36" t="s">
        <v>938</v>
      </c>
      <c r="F5" s="34" t="s">
        <v>875</v>
      </c>
      <c r="G5" s="7"/>
      <c r="H5" s="7"/>
      <c r="I5" s="4"/>
      <c r="J5" s="448"/>
      <c r="K5" s="379">
        <v>3</v>
      </c>
      <c r="L5" s="82">
        <v>3000</v>
      </c>
      <c r="M5" s="123">
        <v>2012.03</v>
      </c>
      <c r="N5" s="5" t="s">
        <v>666</v>
      </c>
    </row>
    <row r="6" spans="1:17" s="438" customFormat="1" ht="32.25" customHeight="1" x14ac:dyDescent="0.4">
      <c r="A6" s="429">
        <v>232</v>
      </c>
      <c r="B6" s="430" t="s">
        <v>489</v>
      </c>
      <c r="C6" s="431" t="s">
        <v>9</v>
      </c>
      <c r="D6" s="429" t="s">
        <v>103</v>
      </c>
      <c r="E6" s="432" t="s">
        <v>895</v>
      </c>
      <c r="F6" s="433" t="s">
        <v>951</v>
      </c>
      <c r="G6" s="431" t="s">
        <v>952</v>
      </c>
      <c r="H6" s="431" t="s">
        <v>953</v>
      </c>
      <c r="I6" s="431" t="s">
        <v>954</v>
      </c>
      <c r="J6" s="449">
        <v>11000</v>
      </c>
      <c r="K6" s="435">
        <v>2.5</v>
      </c>
      <c r="L6" s="436">
        <v>3000</v>
      </c>
      <c r="M6" s="439" t="s">
        <v>955</v>
      </c>
      <c r="N6" s="429" t="s">
        <v>815</v>
      </c>
      <c r="O6" s="437"/>
      <c r="P6" s="437"/>
    </row>
    <row r="7" spans="1:17" s="122" customFormat="1" ht="32.25" customHeight="1" x14ac:dyDescent="0.4">
      <c r="A7" s="90">
        <v>235</v>
      </c>
      <c r="B7" s="91" t="s">
        <v>584</v>
      </c>
      <c r="C7" s="92" t="s">
        <v>9</v>
      </c>
      <c r="D7" s="90" t="s">
        <v>105</v>
      </c>
      <c r="E7" s="93" t="s">
        <v>898</v>
      </c>
      <c r="F7" s="94" t="s">
        <v>876</v>
      </c>
      <c r="G7" s="121" t="s">
        <v>128</v>
      </c>
      <c r="H7" s="121" t="s">
        <v>900</v>
      </c>
      <c r="I7" s="92" t="s">
        <v>901</v>
      </c>
      <c r="J7" s="445">
        <v>10000</v>
      </c>
      <c r="K7" s="95">
        <v>2.5</v>
      </c>
      <c r="L7" s="96">
        <v>3000</v>
      </c>
      <c r="M7" s="97" t="s">
        <v>899</v>
      </c>
      <c r="N7" s="90" t="s">
        <v>738</v>
      </c>
      <c r="Q7" s="441"/>
    </row>
    <row r="8" spans="1:17" s="438" customFormat="1" ht="32.25" customHeight="1" x14ac:dyDescent="0.4">
      <c r="A8" s="429">
        <v>237</v>
      </c>
      <c r="B8" s="430" t="s">
        <v>768</v>
      </c>
      <c r="C8" s="431" t="s">
        <v>9</v>
      </c>
      <c r="D8" s="429" t="s">
        <v>105</v>
      </c>
      <c r="E8" s="432" t="s">
        <v>978</v>
      </c>
      <c r="F8" s="433" t="s">
        <v>906</v>
      </c>
      <c r="G8" s="431" t="s">
        <v>696</v>
      </c>
      <c r="H8" s="431" t="s">
        <v>953</v>
      </c>
      <c r="I8" s="431" t="s">
        <v>964</v>
      </c>
      <c r="J8" s="449">
        <v>13143</v>
      </c>
      <c r="K8" s="435">
        <v>3</v>
      </c>
      <c r="L8" s="436">
        <v>3000</v>
      </c>
      <c r="M8" s="439" t="s">
        <v>907</v>
      </c>
      <c r="N8" s="429" t="s">
        <v>867</v>
      </c>
      <c r="O8" s="437"/>
      <c r="P8" s="437"/>
    </row>
    <row r="9" spans="1:17" s="413" customFormat="1" ht="32.25" customHeight="1" x14ac:dyDescent="0.4">
      <c r="A9" s="403">
        <v>238</v>
      </c>
      <c r="B9" s="404" t="s">
        <v>489</v>
      </c>
      <c r="C9" s="405" t="s">
        <v>483</v>
      </c>
      <c r="D9" s="403" t="s">
        <v>103</v>
      </c>
      <c r="E9" s="406" t="s">
        <v>959</v>
      </c>
      <c r="F9" s="407" t="s">
        <v>906</v>
      </c>
      <c r="G9" s="409" t="s">
        <v>917</v>
      </c>
      <c r="H9" s="409" t="s">
        <v>916</v>
      </c>
      <c r="I9" s="405" t="s">
        <v>934</v>
      </c>
      <c r="J9" s="450">
        <v>16500</v>
      </c>
      <c r="K9" s="410">
        <v>4.5</v>
      </c>
      <c r="L9" s="411">
        <v>3300</v>
      </c>
      <c r="M9" s="414" t="s">
        <v>935</v>
      </c>
      <c r="N9" s="403" t="s">
        <v>815</v>
      </c>
    </row>
    <row r="10" spans="1:17" s="413" customFormat="1" ht="32.25" customHeight="1" x14ac:dyDescent="0.4">
      <c r="A10" s="403">
        <v>239</v>
      </c>
      <c r="B10" s="404" t="s">
        <v>245</v>
      </c>
      <c r="C10" s="405" t="s">
        <v>633</v>
      </c>
      <c r="D10" s="403" t="s">
        <v>105</v>
      </c>
      <c r="E10" s="406" t="s">
        <v>913</v>
      </c>
      <c r="F10" s="407" t="s">
        <v>914</v>
      </c>
      <c r="G10" s="409" t="s">
        <v>917</v>
      </c>
      <c r="H10" s="409" t="s">
        <v>916</v>
      </c>
      <c r="I10" s="405" t="s">
        <v>912</v>
      </c>
      <c r="J10" s="450">
        <v>16500</v>
      </c>
      <c r="K10" s="410">
        <v>4</v>
      </c>
      <c r="L10" s="411">
        <v>4000</v>
      </c>
      <c r="M10" s="412" t="s">
        <v>915</v>
      </c>
      <c r="N10" s="403" t="s">
        <v>815</v>
      </c>
    </row>
    <row r="11" spans="1:17" s="413" customFormat="1" ht="32.25" customHeight="1" x14ac:dyDescent="0.4">
      <c r="A11" s="403">
        <v>241</v>
      </c>
      <c r="B11" s="404" t="s">
        <v>489</v>
      </c>
      <c r="C11" s="405" t="s">
        <v>795</v>
      </c>
      <c r="D11" s="403" t="s">
        <v>767</v>
      </c>
      <c r="E11" s="406" t="s">
        <v>932</v>
      </c>
      <c r="F11" s="407" t="s">
        <v>924</v>
      </c>
      <c r="G11" s="409" t="s">
        <v>917</v>
      </c>
      <c r="H11" s="409" t="s">
        <v>916</v>
      </c>
      <c r="I11" s="405" t="s">
        <v>926</v>
      </c>
      <c r="J11" s="450">
        <v>16500</v>
      </c>
      <c r="K11" s="410">
        <v>3.5</v>
      </c>
      <c r="L11" s="411">
        <v>4300</v>
      </c>
      <c r="M11" s="412" t="s">
        <v>925</v>
      </c>
      <c r="N11" s="403" t="s">
        <v>815</v>
      </c>
    </row>
    <row r="12" spans="1:17" s="375" customFormat="1" ht="32.25" customHeight="1" x14ac:dyDescent="0.4">
      <c r="A12" s="363">
        <v>242</v>
      </c>
      <c r="B12" s="364" t="s">
        <v>245</v>
      </c>
      <c r="C12" s="365" t="s">
        <v>633</v>
      </c>
      <c r="D12" s="363" t="s">
        <v>105</v>
      </c>
      <c r="E12" s="366" t="s">
        <v>942</v>
      </c>
      <c r="F12" s="367" t="s">
        <v>943</v>
      </c>
      <c r="G12" s="369" t="s">
        <v>695</v>
      </c>
      <c r="H12" s="370"/>
      <c r="I12" s="371" t="s">
        <v>940</v>
      </c>
      <c r="J12" s="451">
        <v>11000</v>
      </c>
      <c r="K12" s="372">
        <v>2.5</v>
      </c>
      <c r="L12" s="373">
        <v>4300</v>
      </c>
      <c r="M12" s="374" t="s">
        <v>944</v>
      </c>
      <c r="N12" s="363" t="s">
        <v>666</v>
      </c>
    </row>
    <row r="13" spans="1:17" s="2" customFormat="1" ht="32.25" customHeight="1" x14ac:dyDescent="0.4">
      <c r="A13" s="5">
        <v>243</v>
      </c>
      <c r="B13" s="33" t="s">
        <v>489</v>
      </c>
      <c r="C13" s="4" t="s">
        <v>490</v>
      </c>
      <c r="D13" s="5" t="s">
        <v>105</v>
      </c>
      <c r="E13" s="36" t="s">
        <v>946</v>
      </c>
      <c r="F13" s="34" t="s">
        <v>943</v>
      </c>
      <c r="G13" s="7"/>
      <c r="H13" s="7"/>
      <c r="I13" s="4"/>
      <c r="J13" s="448"/>
      <c r="K13" s="379">
        <v>1</v>
      </c>
      <c r="L13" s="82">
        <v>3000</v>
      </c>
      <c r="M13" s="394" t="s">
        <v>947</v>
      </c>
      <c r="N13" s="5" t="s">
        <v>815</v>
      </c>
    </row>
    <row r="14" spans="1:17" s="2" customFormat="1" ht="32.25" customHeight="1" x14ac:dyDescent="0.4">
      <c r="A14" s="5">
        <v>244</v>
      </c>
      <c r="B14" s="33" t="s">
        <v>489</v>
      </c>
      <c r="C14" s="4" t="s">
        <v>490</v>
      </c>
      <c r="D14" s="5" t="s">
        <v>104</v>
      </c>
      <c r="E14" s="36" t="s">
        <v>961</v>
      </c>
      <c r="F14" s="34" t="s">
        <v>960</v>
      </c>
      <c r="G14" s="7"/>
      <c r="H14" s="7"/>
      <c r="I14" s="4"/>
      <c r="J14" s="448"/>
      <c r="K14" s="379">
        <v>1.5</v>
      </c>
      <c r="L14" s="82">
        <v>4500</v>
      </c>
      <c r="M14" s="394">
        <v>2012</v>
      </c>
      <c r="N14" s="5" t="s">
        <v>815</v>
      </c>
    </row>
    <row r="15" spans="1:17" s="2" customFormat="1" ht="32.25" customHeight="1" x14ac:dyDescent="0.4">
      <c r="A15" s="5">
        <v>245</v>
      </c>
      <c r="B15" s="33" t="s">
        <v>489</v>
      </c>
      <c r="C15" s="172" t="s">
        <v>240</v>
      </c>
      <c r="D15" s="5" t="s">
        <v>105</v>
      </c>
      <c r="E15" s="36" t="s">
        <v>969</v>
      </c>
      <c r="F15" s="34" t="s">
        <v>970</v>
      </c>
      <c r="G15" s="7"/>
      <c r="H15" s="7"/>
      <c r="I15" s="4"/>
      <c r="J15" s="448"/>
      <c r="K15" s="379">
        <v>2.5</v>
      </c>
      <c r="L15" s="82">
        <v>4000</v>
      </c>
      <c r="M15" s="394" t="s">
        <v>971</v>
      </c>
      <c r="N15" s="5"/>
    </row>
    <row r="16" spans="1:17" s="2" customFormat="1" ht="32.25" customHeight="1" x14ac:dyDescent="0.4">
      <c r="A16" s="5">
        <v>246</v>
      </c>
      <c r="B16" s="33" t="s">
        <v>489</v>
      </c>
      <c r="C16" s="172" t="s">
        <v>9</v>
      </c>
      <c r="D16" s="5" t="s">
        <v>105</v>
      </c>
      <c r="E16" s="36" t="s">
        <v>972</v>
      </c>
      <c r="F16" s="34" t="s">
        <v>970</v>
      </c>
      <c r="G16" s="7"/>
      <c r="H16" s="7"/>
      <c r="I16" s="4"/>
      <c r="J16" s="448"/>
      <c r="K16" s="379">
        <v>2.5</v>
      </c>
      <c r="L16" s="82">
        <v>4000</v>
      </c>
      <c r="M16" s="394" t="s">
        <v>973</v>
      </c>
      <c r="N16" s="5"/>
    </row>
  </sheetData>
  <phoneticPr fontId="2" type="noConversion"/>
  <printOptions horizontalCentered="1"/>
  <pageMargins left="0.31496062992125984" right="0.31496062992125984" top="0.74803149606299213" bottom="0.74803149606299213" header="0.31496062992125984" footer="0.31496062992125984"/>
  <pageSetup paperSize="9" scale="78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BI28"/>
  <sheetViews>
    <sheetView workbookViewId="0">
      <selection activeCell="E11" sqref="E11"/>
    </sheetView>
  </sheetViews>
  <sheetFormatPr defaultRowHeight="17" x14ac:dyDescent="0.4"/>
  <cols>
    <col min="1" max="1" width="7.90625" customWidth="1"/>
    <col min="2" max="2" width="7.453125" bestFit="1" customWidth="1"/>
    <col min="3" max="3" width="10.26953125" bestFit="1" customWidth="1"/>
    <col min="4" max="4" width="10.90625" bestFit="1" customWidth="1"/>
    <col min="5" max="5" width="28.36328125" customWidth="1"/>
    <col min="6" max="6" width="10.08984375" customWidth="1"/>
    <col min="7" max="7" width="9.90625" bestFit="1" customWidth="1"/>
    <col min="8" max="8" width="10.26953125" bestFit="1" customWidth="1"/>
    <col min="9" max="9" width="10.26953125" customWidth="1"/>
    <col min="10" max="10" width="19.08984375" customWidth="1"/>
    <col min="11" max="11" width="6" bestFit="1" customWidth="1"/>
    <col min="12" max="12" width="6.90625" bestFit="1" customWidth="1"/>
    <col min="13" max="13" width="28" bestFit="1" customWidth="1"/>
    <col min="14" max="14" width="10.26953125" bestFit="1" customWidth="1"/>
    <col min="15" max="15" width="11.6328125" bestFit="1" customWidth="1"/>
    <col min="16" max="61" width="9" style="488"/>
  </cols>
  <sheetData>
    <row r="1" spans="1:61" ht="21.5" x14ac:dyDescent="0.4">
      <c r="A1" s="490" t="s">
        <v>1071</v>
      </c>
    </row>
    <row r="2" spans="1:61" ht="32.15" customHeight="1" x14ac:dyDescent="0.4">
      <c r="A2" s="363" t="s">
        <v>1068</v>
      </c>
      <c r="B2" s="364"/>
      <c r="C2" s="365"/>
      <c r="D2" s="363" t="s">
        <v>1069</v>
      </c>
      <c r="E2" s="365" t="s">
        <v>1070</v>
      </c>
      <c r="F2" s="384" t="s">
        <v>1072</v>
      </c>
      <c r="G2" s="491" t="s">
        <v>1073</v>
      </c>
      <c r="H2" s="369" t="s">
        <v>1075</v>
      </c>
      <c r="I2" s="370" t="s">
        <v>1076</v>
      </c>
      <c r="J2" s="371" t="s">
        <v>1077</v>
      </c>
      <c r="K2" s="372" t="s">
        <v>1078</v>
      </c>
      <c r="L2" s="373" t="s">
        <v>1079</v>
      </c>
      <c r="M2" s="374"/>
      <c r="N2" s="363"/>
      <c r="O2" s="363" t="s">
        <v>1074</v>
      </c>
    </row>
    <row r="3" spans="1:61" ht="32.15" customHeight="1" x14ac:dyDescent="0.4">
      <c r="A3" s="363">
        <v>60</v>
      </c>
      <c r="B3" s="364" t="s">
        <v>819</v>
      </c>
      <c r="C3" s="365" t="s">
        <v>656</v>
      </c>
      <c r="D3" s="363" t="s">
        <v>820</v>
      </c>
      <c r="E3" s="366" t="s">
        <v>559</v>
      </c>
      <c r="F3" s="384">
        <v>41403</v>
      </c>
      <c r="G3" s="368">
        <v>220000</v>
      </c>
      <c r="H3" s="369" t="s">
        <v>794</v>
      </c>
      <c r="I3" s="370" t="s">
        <v>864</v>
      </c>
      <c r="J3" s="371" t="s">
        <v>821</v>
      </c>
      <c r="K3" s="372">
        <v>2</v>
      </c>
      <c r="L3" s="373">
        <v>3000</v>
      </c>
      <c r="M3" s="374" t="s">
        <v>1042</v>
      </c>
      <c r="N3" s="482"/>
      <c r="O3" s="482" t="s">
        <v>1062</v>
      </c>
    </row>
    <row r="4" spans="1:61" ht="32.15" customHeight="1" x14ac:dyDescent="0.4">
      <c r="A4" s="351">
        <v>64</v>
      </c>
      <c r="B4" s="352" t="s">
        <v>510</v>
      </c>
      <c r="C4" s="353" t="s">
        <v>766</v>
      </c>
      <c r="D4" s="351" t="s">
        <v>801</v>
      </c>
      <c r="E4" s="354" t="s">
        <v>1051</v>
      </c>
      <c r="F4" s="355">
        <v>41428</v>
      </c>
      <c r="G4" s="356">
        <v>110000</v>
      </c>
      <c r="H4" s="353" t="s">
        <v>760</v>
      </c>
      <c r="I4" s="353" t="s">
        <v>811</v>
      </c>
      <c r="J4" s="353" t="s">
        <v>1063</v>
      </c>
      <c r="K4" s="357">
        <v>1.5</v>
      </c>
      <c r="L4" s="358">
        <v>3000</v>
      </c>
      <c r="M4" s="359"/>
      <c r="N4" s="483"/>
      <c r="O4" s="483" t="s">
        <v>1037</v>
      </c>
    </row>
    <row r="5" spans="1:61" s="402" customFormat="1" ht="32.15" customHeight="1" x14ac:dyDescent="0.4">
      <c r="A5" s="415">
        <v>87</v>
      </c>
      <c r="B5" s="395" t="s">
        <v>111</v>
      </c>
      <c r="C5" s="416" t="s">
        <v>822</v>
      </c>
      <c r="D5" s="415" t="s">
        <v>105</v>
      </c>
      <c r="E5" s="417" t="s">
        <v>1039</v>
      </c>
      <c r="F5" s="418" t="s">
        <v>315</v>
      </c>
      <c r="G5" s="397">
        <v>150000</v>
      </c>
      <c r="H5" s="419" t="s">
        <v>794</v>
      </c>
      <c r="I5" s="420" t="s">
        <v>865</v>
      </c>
      <c r="J5" s="421" t="s">
        <v>1038</v>
      </c>
      <c r="K5" s="422">
        <v>1.5</v>
      </c>
      <c r="L5" s="423">
        <v>5000</v>
      </c>
      <c r="M5" s="401" t="s">
        <v>823</v>
      </c>
      <c r="N5" s="477"/>
      <c r="O5" s="477" t="s">
        <v>1037</v>
      </c>
    </row>
    <row r="6" spans="1:61" s="402" customFormat="1" ht="32.25" customHeight="1" x14ac:dyDescent="0.4">
      <c r="A6" s="395">
        <v>108</v>
      </c>
      <c r="B6" s="395" t="s">
        <v>284</v>
      </c>
      <c r="C6" s="395" t="s">
        <v>285</v>
      </c>
      <c r="D6" s="395" t="s">
        <v>285</v>
      </c>
      <c r="E6" s="396" t="s">
        <v>1067</v>
      </c>
      <c r="F6" s="395" t="s">
        <v>287</v>
      </c>
      <c r="G6" s="397">
        <v>95000</v>
      </c>
      <c r="H6" s="398" t="s">
        <v>695</v>
      </c>
      <c r="I6" s="395" t="s">
        <v>865</v>
      </c>
      <c r="J6" s="399" t="s">
        <v>911</v>
      </c>
      <c r="K6" s="457">
        <v>2</v>
      </c>
      <c r="L6" s="400"/>
      <c r="M6" s="401" t="s">
        <v>574</v>
      </c>
      <c r="N6" s="465"/>
      <c r="O6" s="482" t="s">
        <v>1062</v>
      </c>
    </row>
    <row r="7" spans="1:61" s="171" customFormat="1" ht="32.25" customHeight="1" x14ac:dyDescent="0.4">
      <c r="A7" s="168">
        <v>121</v>
      </c>
      <c r="B7" s="168" t="s">
        <v>8</v>
      </c>
      <c r="C7" s="168" t="s">
        <v>11</v>
      </c>
      <c r="D7" s="168" t="s">
        <v>108</v>
      </c>
      <c r="E7" s="169" t="s">
        <v>281</v>
      </c>
      <c r="F7" s="168" t="s">
        <v>272</v>
      </c>
      <c r="G7" s="170">
        <v>85000</v>
      </c>
      <c r="H7" s="163" t="s">
        <v>524</v>
      </c>
      <c r="I7" s="168"/>
      <c r="J7" s="168"/>
      <c r="K7" s="456">
        <v>1.8</v>
      </c>
      <c r="L7" s="168">
        <v>4500</v>
      </c>
      <c r="M7" s="168">
        <v>2003</v>
      </c>
      <c r="N7" s="469"/>
      <c r="O7" s="481" t="s">
        <v>1015</v>
      </c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</row>
    <row r="8" spans="1:61" s="360" customFormat="1" ht="32.25" customHeight="1" x14ac:dyDescent="0.4">
      <c r="A8" s="351">
        <v>123</v>
      </c>
      <c r="B8" s="352" t="s">
        <v>762</v>
      </c>
      <c r="C8" s="353" t="s">
        <v>656</v>
      </c>
      <c r="D8" s="351" t="s">
        <v>246</v>
      </c>
      <c r="E8" s="354" t="s">
        <v>301</v>
      </c>
      <c r="F8" s="355" t="s">
        <v>763</v>
      </c>
      <c r="G8" s="356">
        <v>370000</v>
      </c>
      <c r="H8" s="353" t="s">
        <v>760</v>
      </c>
      <c r="I8" s="353" t="s">
        <v>413</v>
      </c>
      <c r="J8" s="353" t="s">
        <v>1064</v>
      </c>
      <c r="K8" s="357">
        <v>2.5</v>
      </c>
      <c r="L8" s="358">
        <v>4000</v>
      </c>
      <c r="M8" s="359">
        <v>2001</v>
      </c>
      <c r="N8" s="471"/>
      <c r="O8" s="483" t="s">
        <v>1037</v>
      </c>
      <c r="P8" s="425"/>
      <c r="Q8" s="425"/>
      <c r="R8" s="425"/>
      <c r="S8" s="425"/>
      <c r="T8" s="425"/>
      <c r="U8" s="425"/>
      <c r="V8" s="425"/>
      <c r="W8" s="425"/>
      <c r="X8" s="425"/>
      <c r="Y8" s="425"/>
      <c r="Z8" s="425"/>
      <c r="AA8" s="425"/>
      <c r="AB8" s="425"/>
      <c r="AC8" s="425"/>
      <c r="AD8" s="425"/>
      <c r="AE8" s="425"/>
      <c r="AF8" s="425"/>
      <c r="AG8" s="425"/>
      <c r="AH8" s="425"/>
      <c r="AI8" s="425"/>
      <c r="AJ8" s="425"/>
      <c r="AK8" s="425"/>
      <c r="AL8" s="425"/>
      <c r="AM8" s="425"/>
      <c r="AN8" s="425"/>
      <c r="AO8" s="425"/>
      <c r="AP8" s="425"/>
      <c r="AQ8" s="425"/>
      <c r="AR8" s="425"/>
      <c r="AS8" s="425"/>
      <c r="AT8" s="425"/>
      <c r="AU8" s="425"/>
      <c r="AV8" s="425"/>
      <c r="AW8" s="425"/>
      <c r="AX8" s="425"/>
      <c r="AY8" s="425"/>
      <c r="AZ8" s="425"/>
      <c r="BA8" s="425"/>
      <c r="BB8" s="425"/>
      <c r="BC8" s="425"/>
      <c r="BD8" s="425"/>
      <c r="BE8" s="425"/>
      <c r="BF8" s="425"/>
      <c r="BG8" s="425"/>
      <c r="BH8" s="425"/>
      <c r="BI8" s="425"/>
    </row>
    <row r="9" spans="1:61" s="360" customFormat="1" ht="32.25" customHeight="1" x14ac:dyDescent="0.4">
      <c r="A9" s="351">
        <v>124</v>
      </c>
      <c r="B9" s="352" t="s">
        <v>762</v>
      </c>
      <c r="C9" s="353" t="s">
        <v>240</v>
      </c>
      <c r="D9" s="351" t="s">
        <v>246</v>
      </c>
      <c r="E9" s="354" t="s">
        <v>1049</v>
      </c>
      <c r="F9" s="355" t="s">
        <v>764</v>
      </c>
      <c r="G9" s="356">
        <v>420000</v>
      </c>
      <c r="H9" s="353" t="s">
        <v>760</v>
      </c>
      <c r="I9" s="353" t="s">
        <v>312</v>
      </c>
      <c r="J9" s="353" t="s">
        <v>1064</v>
      </c>
      <c r="K9" s="357">
        <v>2.5</v>
      </c>
      <c r="L9" s="358">
        <v>3500</v>
      </c>
      <c r="M9" s="359">
        <v>2006</v>
      </c>
      <c r="N9" s="471"/>
      <c r="O9" s="483" t="s">
        <v>1037</v>
      </c>
      <c r="P9" s="425"/>
      <c r="Q9" s="425"/>
      <c r="R9" s="425"/>
      <c r="S9" s="425"/>
      <c r="T9" s="425"/>
      <c r="U9" s="425"/>
      <c r="V9" s="425"/>
      <c r="W9" s="425"/>
      <c r="X9" s="425"/>
      <c r="Y9" s="425"/>
      <c r="Z9" s="425"/>
      <c r="AA9" s="425"/>
      <c r="AB9" s="425"/>
      <c r="AC9" s="425"/>
      <c r="AD9" s="425"/>
      <c r="AE9" s="425"/>
      <c r="AF9" s="425"/>
      <c r="AG9" s="425"/>
      <c r="AH9" s="425"/>
      <c r="AI9" s="425"/>
      <c r="AJ9" s="425"/>
      <c r="AK9" s="425"/>
      <c r="AL9" s="425"/>
      <c r="AM9" s="425"/>
      <c r="AN9" s="425"/>
      <c r="AO9" s="425"/>
      <c r="AP9" s="425"/>
      <c r="AQ9" s="425"/>
      <c r="AR9" s="425"/>
      <c r="AS9" s="425"/>
      <c r="AT9" s="425"/>
      <c r="AU9" s="425"/>
      <c r="AV9" s="425"/>
      <c r="AW9" s="425"/>
      <c r="AX9" s="425"/>
      <c r="AY9" s="425"/>
      <c r="AZ9" s="425"/>
      <c r="BA9" s="425"/>
      <c r="BB9" s="425"/>
      <c r="BC9" s="425"/>
      <c r="BD9" s="425"/>
      <c r="BE9" s="425"/>
      <c r="BF9" s="425"/>
      <c r="BG9" s="425"/>
      <c r="BH9" s="425"/>
      <c r="BI9" s="425"/>
    </row>
    <row r="10" spans="1:61" s="360" customFormat="1" ht="32.25" customHeight="1" x14ac:dyDescent="0.4">
      <c r="A10" s="351">
        <v>125</v>
      </c>
      <c r="B10" s="352" t="s">
        <v>762</v>
      </c>
      <c r="C10" s="353" t="s">
        <v>240</v>
      </c>
      <c r="D10" s="351" t="s">
        <v>246</v>
      </c>
      <c r="E10" s="354" t="s">
        <v>1050</v>
      </c>
      <c r="F10" s="355" t="s">
        <v>764</v>
      </c>
      <c r="G10" s="356">
        <v>420000</v>
      </c>
      <c r="H10" s="353" t="s">
        <v>760</v>
      </c>
      <c r="I10" s="353" t="s">
        <v>313</v>
      </c>
      <c r="J10" s="353" t="s">
        <v>1064</v>
      </c>
      <c r="K10" s="357">
        <v>2.5</v>
      </c>
      <c r="L10" s="358">
        <v>5000</v>
      </c>
      <c r="M10" s="359">
        <v>2008</v>
      </c>
      <c r="N10" s="471"/>
      <c r="O10" s="483" t="s">
        <v>1037</v>
      </c>
      <c r="P10" s="425"/>
      <c r="Q10" s="425"/>
      <c r="R10" s="425"/>
      <c r="S10" s="425"/>
      <c r="T10" s="425"/>
      <c r="U10" s="425"/>
      <c r="V10" s="425"/>
      <c r="W10" s="425"/>
      <c r="X10" s="425"/>
      <c r="Y10" s="425"/>
      <c r="Z10" s="425"/>
      <c r="AA10" s="425"/>
      <c r="AB10" s="425"/>
      <c r="AC10" s="425"/>
      <c r="AD10" s="425"/>
      <c r="AE10" s="425"/>
      <c r="AF10" s="425"/>
      <c r="AG10" s="425"/>
      <c r="AH10" s="425"/>
      <c r="AI10" s="425"/>
      <c r="AJ10" s="425"/>
      <c r="AK10" s="425"/>
      <c r="AL10" s="425"/>
      <c r="AM10" s="425"/>
      <c r="AN10" s="425"/>
      <c r="AO10" s="425"/>
      <c r="AP10" s="425"/>
      <c r="AQ10" s="425"/>
      <c r="AR10" s="425"/>
      <c r="AS10" s="425"/>
      <c r="AT10" s="425"/>
      <c r="AU10" s="425"/>
      <c r="AV10" s="425"/>
      <c r="AW10" s="425"/>
      <c r="AX10" s="425"/>
      <c r="AY10" s="425"/>
      <c r="AZ10" s="425"/>
      <c r="BA10" s="425"/>
      <c r="BB10" s="425"/>
      <c r="BC10" s="425"/>
      <c r="BD10" s="425"/>
      <c r="BE10" s="425"/>
      <c r="BF10" s="425"/>
      <c r="BG10" s="425"/>
      <c r="BH10" s="425"/>
      <c r="BI10" s="425"/>
    </row>
    <row r="11" spans="1:61" s="360" customFormat="1" ht="32.25" customHeight="1" x14ac:dyDescent="0.4">
      <c r="A11" s="351">
        <v>127</v>
      </c>
      <c r="B11" s="352" t="s">
        <v>254</v>
      </c>
      <c r="C11" s="353" t="s">
        <v>240</v>
      </c>
      <c r="D11" s="351" t="s">
        <v>246</v>
      </c>
      <c r="E11" s="354" t="s">
        <v>1052</v>
      </c>
      <c r="F11" s="355" t="s">
        <v>765</v>
      </c>
      <c r="G11" s="356">
        <v>395000</v>
      </c>
      <c r="H11" s="353" t="s">
        <v>760</v>
      </c>
      <c r="I11" s="353" t="s">
        <v>311</v>
      </c>
      <c r="J11" s="353" t="s">
        <v>1064</v>
      </c>
      <c r="K11" s="357">
        <v>2.5</v>
      </c>
      <c r="L11" s="358">
        <v>3000</v>
      </c>
      <c r="M11" s="359">
        <v>2008</v>
      </c>
      <c r="N11" s="471"/>
      <c r="O11" s="483" t="s">
        <v>1015</v>
      </c>
      <c r="P11" s="425"/>
      <c r="Q11" s="425"/>
      <c r="R11" s="425"/>
      <c r="S11" s="425"/>
      <c r="T11" s="425"/>
      <c r="U11" s="425"/>
      <c r="V11" s="425"/>
      <c r="W11" s="425"/>
      <c r="X11" s="425"/>
      <c r="Y11" s="425"/>
      <c r="Z11" s="425"/>
      <c r="AA11" s="425"/>
      <c r="AB11" s="425"/>
      <c r="AC11" s="425"/>
      <c r="AD11" s="425"/>
      <c r="AE11" s="425"/>
      <c r="AF11" s="425"/>
      <c r="AG11" s="425"/>
      <c r="AH11" s="425"/>
      <c r="AI11" s="425"/>
      <c r="AJ11" s="425"/>
      <c r="AK11" s="425"/>
      <c r="AL11" s="425"/>
      <c r="AM11" s="425"/>
      <c r="AN11" s="425"/>
      <c r="AO11" s="425"/>
      <c r="AP11" s="425"/>
      <c r="AQ11" s="425"/>
      <c r="AR11" s="425"/>
      <c r="AS11" s="425"/>
      <c r="AT11" s="425"/>
      <c r="AU11" s="425"/>
      <c r="AV11" s="425"/>
      <c r="AW11" s="425"/>
      <c r="AX11" s="425"/>
      <c r="AY11" s="425"/>
      <c r="AZ11" s="425"/>
      <c r="BA11" s="425"/>
      <c r="BB11" s="425"/>
      <c r="BC11" s="425"/>
      <c r="BD11" s="425"/>
      <c r="BE11" s="425"/>
      <c r="BF11" s="425"/>
      <c r="BG11" s="425"/>
      <c r="BH11" s="425"/>
      <c r="BI11" s="425"/>
    </row>
    <row r="12" spans="1:61" s="402" customFormat="1" ht="32.25" customHeight="1" x14ac:dyDescent="0.4">
      <c r="A12" s="395">
        <v>129</v>
      </c>
      <c r="B12" s="395" t="s">
        <v>111</v>
      </c>
      <c r="C12" s="395" t="s">
        <v>240</v>
      </c>
      <c r="D12" s="395" t="s">
        <v>105</v>
      </c>
      <c r="E12" s="396" t="s">
        <v>337</v>
      </c>
      <c r="F12" s="395" t="s">
        <v>329</v>
      </c>
      <c r="G12" s="397">
        <v>200000</v>
      </c>
      <c r="H12" s="398" t="s">
        <v>695</v>
      </c>
      <c r="I12" s="370" t="s">
        <v>865</v>
      </c>
      <c r="J12" s="399" t="s">
        <v>1038</v>
      </c>
      <c r="K12" s="457">
        <v>1.8</v>
      </c>
      <c r="L12" s="400">
        <v>4500</v>
      </c>
      <c r="M12" s="401" t="s">
        <v>968</v>
      </c>
      <c r="N12" s="465"/>
      <c r="O12" s="482" t="s">
        <v>1062</v>
      </c>
    </row>
    <row r="13" spans="1:61" s="2" customFormat="1" ht="32.25" customHeight="1" x14ac:dyDescent="0.4">
      <c r="A13" s="5">
        <v>149</v>
      </c>
      <c r="B13" s="33" t="s">
        <v>489</v>
      </c>
      <c r="C13" s="4" t="s">
        <v>490</v>
      </c>
      <c r="D13" s="5" t="s">
        <v>235</v>
      </c>
      <c r="E13" s="36" t="s">
        <v>493</v>
      </c>
      <c r="F13" s="34" t="s">
        <v>492</v>
      </c>
      <c r="G13" s="108">
        <v>85000</v>
      </c>
      <c r="H13" s="4"/>
      <c r="I13" s="4"/>
      <c r="J13" s="4"/>
      <c r="K13" s="38">
        <v>1.5</v>
      </c>
      <c r="L13" s="132">
        <v>3000</v>
      </c>
      <c r="M13" s="33"/>
      <c r="N13" s="464" t="s">
        <v>498</v>
      </c>
      <c r="O13" s="476" t="s">
        <v>1037</v>
      </c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  <c r="BI13" s="157"/>
    </row>
    <row r="14" spans="1:61" s="165" customFormat="1" ht="32.25" customHeight="1" x14ac:dyDescent="0.4">
      <c r="A14" s="158">
        <v>154</v>
      </c>
      <c r="B14" s="159" t="s">
        <v>489</v>
      </c>
      <c r="C14" s="160" t="s">
        <v>11</v>
      </c>
      <c r="D14" s="158" t="s">
        <v>105</v>
      </c>
      <c r="E14" s="161" t="s">
        <v>505</v>
      </c>
      <c r="F14" s="158" t="s">
        <v>506</v>
      </c>
      <c r="G14" s="162">
        <v>80000</v>
      </c>
      <c r="H14" s="163" t="s">
        <v>524</v>
      </c>
      <c r="I14" s="160"/>
      <c r="J14" s="164"/>
      <c r="K14" s="166">
        <v>1</v>
      </c>
      <c r="L14" s="167">
        <v>3000</v>
      </c>
      <c r="M14" s="159" t="s">
        <v>508</v>
      </c>
      <c r="N14" s="473" t="s">
        <v>474</v>
      </c>
      <c r="O14" s="484" t="s">
        <v>1037</v>
      </c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</row>
    <row r="15" spans="1:61" s="402" customFormat="1" ht="32.25" customHeight="1" x14ac:dyDescent="0.4">
      <c r="A15" s="395">
        <v>156</v>
      </c>
      <c r="B15" s="395" t="s">
        <v>956</v>
      </c>
      <c r="C15" s="395" t="s">
        <v>656</v>
      </c>
      <c r="D15" s="395" t="s">
        <v>957</v>
      </c>
      <c r="E15" s="396" t="s">
        <v>1026</v>
      </c>
      <c r="F15" s="395" t="s">
        <v>958</v>
      </c>
      <c r="G15" s="397">
        <v>120000</v>
      </c>
      <c r="H15" s="398" t="s">
        <v>695</v>
      </c>
      <c r="I15" s="395" t="s">
        <v>865</v>
      </c>
      <c r="J15" s="399" t="s">
        <v>1027</v>
      </c>
      <c r="K15" s="457">
        <v>0.7</v>
      </c>
      <c r="L15" s="400">
        <v>2000</v>
      </c>
      <c r="M15" s="401" t="s">
        <v>1043</v>
      </c>
      <c r="N15" s="465" t="s">
        <v>474</v>
      </c>
      <c r="O15" s="482" t="s">
        <v>1062</v>
      </c>
    </row>
    <row r="16" spans="1:61" s="113" customFormat="1" ht="32.25" customHeight="1" x14ac:dyDescent="0.4">
      <c r="A16" s="5">
        <v>164</v>
      </c>
      <c r="B16" s="33" t="s">
        <v>489</v>
      </c>
      <c r="C16" s="4" t="s">
        <v>11</v>
      </c>
      <c r="D16" s="5" t="s">
        <v>105</v>
      </c>
      <c r="E16" s="36" t="s">
        <v>571</v>
      </c>
      <c r="F16" s="34" t="s">
        <v>561</v>
      </c>
      <c r="G16" s="108">
        <v>132000</v>
      </c>
      <c r="H16" s="4"/>
      <c r="I16" s="4"/>
      <c r="J16" s="4"/>
      <c r="K16" s="38">
        <v>1.8</v>
      </c>
      <c r="L16" s="132">
        <v>3500</v>
      </c>
      <c r="M16" s="33" t="s">
        <v>563</v>
      </c>
      <c r="N16" s="464"/>
      <c r="O16" s="476" t="s">
        <v>1037</v>
      </c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0"/>
      <c r="AB16" s="300"/>
      <c r="AC16" s="30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0"/>
      <c r="AQ16" s="300"/>
      <c r="AR16" s="30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0"/>
      <c r="BD16" s="300"/>
      <c r="BE16" s="300"/>
      <c r="BF16" s="300"/>
      <c r="BG16" s="300"/>
      <c r="BH16" s="300"/>
      <c r="BI16" s="300"/>
    </row>
    <row r="17" spans="1:61" s="300" customFormat="1" ht="32.25" customHeight="1" x14ac:dyDescent="0.4">
      <c r="A17" s="155">
        <v>166</v>
      </c>
      <c r="B17" s="152" t="s">
        <v>489</v>
      </c>
      <c r="C17" s="172" t="s">
        <v>11</v>
      </c>
      <c r="D17" s="155" t="s">
        <v>105</v>
      </c>
      <c r="E17" s="180" t="s">
        <v>567</v>
      </c>
      <c r="F17" s="177" t="s">
        <v>561</v>
      </c>
      <c r="G17" s="153">
        <v>132000</v>
      </c>
      <c r="H17" s="172"/>
      <c r="I17" s="382"/>
      <c r="J17" s="179"/>
      <c r="K17" s="190">
        <v>1.5</v>
      </c>
      <c r="L17" s="132">
        <v>3000</v>
      </c>
      <c r="M17" s="152" t="s">
        <v>647</v>
      </c>
      <c r="N17" s="467"/>
      <c r="O17" s="479" t="s">
        <v>1037</v>
      </c>
    </row>
    <row r="18" spans="1:61" s="113" customFormat="1" ht="32.25" customHeight="1" x14ac:dyDescent="0.4">
      <c r="A18" s="5">
        <v>167</v>
      </c>
      <c r="B18" s="33" t="s">
        <v>588</v>
      </c>
      <c r="C18" s="4" t="s">
        <v>11</v>
      </c>
      <c r="D18" s="5" t="s">
        <v>767</v>
      </c>
      <c r="E18" s="36" t="s">
        <v>1057</v>
      </c>
      <c r="F18" s="34" t="s">
        <v>561</v>
      </c>
      <c r="G18" s="108">
        <v>132000</v>
      </c>
      <c r="H18" s="4"/>
      <c r="I18" s="4"/>
      <c r="J18" s="4"/>
      <c r="K18" s="38">
        <v>1.5</v>
      </c>
      <c r="L18" s="132">
        <v>4500</v>
      </c>
      <c r="M18" s="33" t="s">
        <v>1058</v>
      </c>
      <c r="N18" s="464"/>
      <c r="O18" s="476" t="s">
        <v>1037</v>
      </c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0"/>
      <c r="AB18" s="300"/>
      <c r="AC18" s="30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0"/>
      <c r="AQ18" s="300"/>
      <c r="AR18" s="30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0"/>
      <c r="BD18" s="300"/>
      <c r="BE18" s="300"/>
      <c r="BF18" s="300"/>
      <c r="BG18" s="300"/>
      <c r="BH18" s="300"/>
      <c r="BI18" s="300"/>
    </row>
    <row r="19" spans="1:61" s="113" customFormat="1" ht="32.25" customHeight="1" x14ac:dyDescent="0.4">
      <c r="A19" s="5">
        <v>183</v>
      </c>
      <c r="B19" s="33" t="s">
        <v>588</v>
      </c>
      <c r="C19" s="4" t="s">
        <v>11</v>
      </c>
      <c r="D19" s="5" t="s">
        <v>767</v>
      </c>
      <c r="E19" s="36" t="s">
        <v>635</v>
      </c>
      <c r="F19" s="34" t="s">
        <v>636</v>
      </c>
      <c r="G19" s="108">
        <v>60000</v>
      </c>
      <c r="H19" s="4"/>
      <c r="I19" s="4"/>
      <c r="J19" s="4"/>
      <c r="K19" s="38">
        <v>1.8</v>
      </c>
      <c r="L19" s="132">
        <v>3000</v>
      </c>
      <c r="M19" s="33" t="s">
        <v>1059</v>
      </c>
      <c r="N19" s="464" t="s">
        <v>665</v>
      </c>
      <c r="O19" s="476" t="s">
        <v>1037</v>
      </c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0"/>
      <c r="AB19" s="300"/>
      <c r="AC19" s="300"/>
      <c r="AD19" s="300"/>
      <c r="AE19" s="30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0"/>
      <c r="AQ19" s="300"/>
      <c r="AR19" s="30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0"/>
      <c r="BD19" s="300"/>
      <c r="BE19" s="300"/>
      <c r="BF19" s="300"/>
      <c r="BG19" s="300"/>
      <c r="BH19" s="300"/>
      <c r="BI19" s="300"/>
    </row>
    <row r="20" spans="1:61" s="113" customFormat="1" ht="32.25" customHeight="1" x14ac:dyDescent="0.4">
      <c r="A20" s="5">
        <v>187</v>
      </c>
      <c r="B20" s="33" t="s">
        <v>489</v>
      </c>
      <c r="C20" s="172" t="s">
        <v>11</v>
      </c>
      <c r="D20" s="5" t="s">
        <v>105</v>
      </c>
      <c r="E20" s="36" t="s">
        <v>648</v>
      </c>
      <c r="F20" s="34" t="s">
        <v>649</v>
      </c>
      <c r="G20" s="108">
        <v>80000</v>
      </c>
      <c r="H20" s="4"/>
      <c r="I20" s="4"/>
      <c r="J20" s="4"/>
      <c r="K20" s="38">
        <v>1</v>
      </c>
      <c r="L20" s="132">
        <v>3000</v>
      </c>
      <c r="M20" s="33" t="s">
        <v>651</v>
      </c>
      <c r="N20" s="464" t="s">
        <v>665</v>
      </c>
      <c r="O20" s="476" t="s">
        <v>1037</v>
      </c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  <c r="AA20" s="300"/>
      <c r="AB20" s="300"/>
      <c r="AC20" s="300"/>
      <c r="AD20" s="300"/>
      <c r="AE20" s="300"/>
      <c r="AF20" s="300"/>
      <c r="AG20" s="300"/>
      <c r="AH20" s="300"/>
      <c r="AI20" s="300"/>
      <c r="AJ20" s="300"/>
      <c r="AK20" s="300"/>
      <c r="AL20" s="300"/>
      <c r="AM20" s="300"/>
      <c r="AN20" s="300"/>
      <c r="AO20" s="300"/>
      <c r="AP20" s="300"/>
      <c r="AQ20" s="300"/>
      <c r="AR20" s="300"/>
      <c r="AS20" s="300"/>
      <c r="AT20" s="300"/>
      <c r="AU20" s="300"/>
      <c r="AV20" s="300"/>
      <c r="AW20" s="300"/>
      <c r="AX20" s="300"/>
      <c r="AY20" s="300"/>
      <c r="AZ20" s="300"/>
      <c r="BA20" s="300"/>
      <c r="BB20" s="300"/>
      <c r="BC20" s="300"/>
      <c r="BD20" s="300"/>
      <c r="BE20" s="300"/>
      <c r="BF20" s="300"/>
      <c r="BG20" s="300"/>
      <c r="BH20" s="300"/>
      <c r="BI20" s="300"/>
    </row>
    <row r="21" spans="1:61" s="375" customFormat="1" ht="32.25" customHeight="1" x14ac:dyDescent="0.4">
      <c r="A21" s="363">
        <v>215</v>
      </c>
      <c r="B21" s="364" t="s">
        <v>245</v>
      </c>
      <c r="C21" s="365" t="s">
        <v>240</v>
      </c>
      <c r="D21" s="363" t="s">
        <v>105</v>
      </c>
      <c r="E21" s="366" t="s">
        <v>817</v>
      </c>
      <c r="F21" s="367" t="s">
        <v>824</v>
      </c>
      <c r="G21" s="368">
        <v>470000</v>
      </c>
      <c r="H21" s="369" t="s">
        <v>794</v>
      </c>
      <c r="I21" s="370" t="s">
        <v>865</v>
      </c>
      <c r="J21" s="371" t="s">
        <v>825</v>
      </c>
      <c r="K21" s="372">
        <v>2.5</v>
      </c>
      <c r="L21" s="373">
        <v>4300</v>
      </c>
      <c r="M21" s="374" t="s">
        <v>1044</v>
      </c>
      <c r="N21" s="470" t="s">
        <v>666</v>
      </c>
      <c r="O21" s="482" t="s">
        <v>1062</v>
      </c>
      <c r="P21" s="402"/>
      <c r="Q21" s="402"/>
      <c r="R21" s="402"/>
      <c r="S21" s="402"/>
      <c r="T21" s="402"/>
      <c r="U21" s="402"/>
      <c r="V21" s="402"/>
      <c r="W21" s="402"/>
      <c r="X21" s="402"/>
      <c r="Y21" s="402"/>
      <c r="Z21" s="402"/>
      <c r="AA21" s="402"/>
      <c r="AB21" s="402"/>
      <c r="AC21" s="402"/>
      <c r="AD21" s="402"/>
      <c r="AE21" s="402"/>
      <c r="AF21" s="402"/>
      <c r="AG21" s="402"/>
      <c r="AH21" s="402"/>
      <c r="AI21" s="402"/>
      <c r="AJ21" s="402"/>
      <c r="AK21" s="402"/>
      <c r="AL21" s="402"/>
      <c r="AM21" s="402"/>
      <c r="AN21" s="402"/>
      <c r="AO21" s="402"/>
      <c r="AP21" s="402"/>
      <c r="AQ21" s="402"/>
      <c r="AR21" s="402"/>
      <c r="AS21" s="402"/>
      <c r="AT21" s="402"/>
      <c r="AU21" s="402"/>
      <c r="AV21" s="402"/>
      <c r="AW21" s="402"/>
      <c r="AX21" s="402"/>
      <c r="AY21" s="402"/>
      <c r="AZ21" s="402"/>
      <c r="BA21" s="402"/>
      <c r="BB21" s="402"/>
      <c r="BC21" s="402"/>
      <c r="BD21" s="402"/>
      <c r="BE21" s="402"/>
      <c r="BF21" s="402"/>
      <c r="BG21" s="402"/>
      <c r="BH21" s="402"/>
      <c r="BI21" s="402"/>
    </row>
    <row r="22" spans="1:61" s="375" customFormat="1" ht="32.25" customHeight="1" x14ac:dyDescent="0.4">
      <c r="A22" s="363">
        <v>219</v>
      </c>
      <c r="B22" s="364" t="s">
        <v>872</v>
      </c>
      <c r="C22" s="365" t="s">
        <v>656</v>
      </c>
      <c r="D22" s="363" t="s">
        <v>873</v>
      </c>
      <c r="E22" s="366" t="s">
        <v>1028</v>
      </c>
      <c r="F22" s="367" t="s">
        <v>885</v>
      </c>
      <c r="G22" s="368">
        <v>110000</v>
      </c>
      <c r="H22" s="369" t="s">
        <v>753</v>
      </c>
      <c r="I22" s="370" t="s">
        <v>865</v>
      </c>
      <c r="J22" s="371" t="s">
        <v>874</v>
      </c>
      <c r="K22" s="372">
        <v>0.9</v>
      </c>
      <c r="L22" s="373">
        <v>3000</v>
      </c>
      <c r="M22" s="374">
        <v>2002.05</v>
      </c>
      <c r="N22" s="470" t="s">
        <v>861</v>
      </c>
      <c r="O22" s="482" t="s">
        <v>1062</v>
      </c>
      <c r="P22" s="402"/>
      <c r="Q22" s="402"/>
      <c r="R22" s="402"/>
      <c r="S22" s="402"/>
      <c r="T22" s="402"/>
      <c r="U22" s="402"/>
      <c r="V22" s="402"/>
      <c r="W22" s="402"/>
      <c r="X22" s="402"/>
      <c r="Y22" s="402"/>
      <c r="Z22" s="402"/>
      <c r="AA22" s="402"/>
      <c r="AB22" s="402"/>
      <c r="AC22" s="402"/>
      <c r="AD22" s="402"/>
      <c r="AE22" s="402"/>
      <c r="AF22" s="402"/>
      <c r="AG22" s="402"/>
      <c r="AH22" s="402"/>
      <c r="AI22" s="402"/>
      <c r="AJ22" s="402"/>
      <c r="AK22" s="402"/>
      <c r="AL22" s="402"/>
      <c r="AM22" s="402"/>
      <c r="AN22" s="402"/>
      <c r="AO22" s="402"/>
      <c r="AP22" s="402"/>
      <c r="AQ22" s="402"/>
      <c r="AR22" s="402"/>
      <c r="AS22" s="402"/>
      <c r="AT22" s="402"/>
      <c r="AU22" s="402"/>
      <c r="AV22" s="402"/>
      <c r="AW22" s="402"/>
      <c r="AX22" s="402"/>
      <c r="AY22" s="402"/>
      <c r="AZ22" s="402"/>
      <c r="BA22" s="402"/>
      <c r="BB22" s="402"/>
      <c r="BC22" s="402"/>
      <c r="BD22" s="402"/>
      <c r="BE22" s="402"/>
      <c r="BF22" s="402"/>
      <c r="BG22" s="402"/>
      <c r="BH22" s="402"/>
      <c r="BI22" s="402"/>
    </row>
    <row r="23" spans="1:61" s="438" customFormat="1" ht="32.25" customHeight="1" x14ac:dyDescent="0.4">
      <c r="A23" s="429">
        <v>232</v>
      </c>
      <c r="B23" s="430" t="s">
        <v>489</v>
      </c>
      <c r="C23" s="431" t="s">
        <v>9</v>
      </c>
      <c r="D23" s="429" t="s">
        <v>657</v>
      </c>
      <c r="E23" s="432" t="s">
        <v>895</v>
      </c>
      <c r="F23" s="433" t="s">
        <v>896</v>
      </c>
      <c r="G23" s="434">
        <v>310000</v>
      </c>
      <c r="H23" s="431" t="s">
        <v>952</v>
      </c>
      <c r="I23" s="431" t="s">
        <v>953</v>
      </c>
      <c r="J23" s="431" t="s">
        <v>1008</v>
      </c>
      <c r="K23" s="435">
        <v>2.5</v>
      </c>
      <c r="L23" s="436">
        <v>3000</v>
      </c>
      <c r="M23" s="439" t="s">
        <v>980</v>
      </c>
      <c r="N23" s="474" t="s">
        <v>861</v>
      </c>
      <c r="O23" s="485" t="s">
        <v>1015</v>
      </c>
      <c r="P23" s="440"/>
      <c r="Q23" s="440"/>
      <c r="R23" s="440"/>
      <c r="S23" s="440"/>
      <c r="T23" s="440"/>
      <c r="U23" s="440"/>
      <c r="V23" s="440"/>
      <c r="W23" s="440"/>
      <c r="X23" s="440"/>
      <c r="Y23" s="440"/>
      <c r="Z23" s="440"/>
      <c r="AA23" s="440"/>
      <c r="AB23" s="440"/>
      <c r="AC23" s="440"/>
      <c r="AD23" s="440"/>
      <c r="AE23" s="440"/>
      <c r="AF23" s="440"/>
      <c r="AG23" s="440"/>
      <c r="AH23" s="440"/>
      <c r="AI23" s="440"/>
      <c r="AJ23" s="440"/>
      <c r="AK23" s="440"/>
      <c r="AL23" s="440"/>
      <c r="AM23" s="440"/>
      <c r="AN23" s="440"/>
      <c r="AO23" s="440"/>
      <c r="AP23" s="440"/>
      <c r="AQ23" s="440"/>
      <c r="AR23" s="440"/>
      <c r="AS23" s="440"/>
      <c r="AT23" s="440"/>
      <c r="AU23" s="440"/>
      <c r="AV23" s="440"/>
      <c r="AW23" s="440"/>
      <c r="AX23" s="440"/>
      <c r="AY23" s="440"/>
      <c r="AZ23" s="440"/>
      <c r="BA23" s="440"/>
      <c r="BB23" s="440"/>
      <c r="BC23" s="440"/>
      <c r="BD23" s="440"/>
      <c r="BE23" s="440"/>
      <c r="BF23" s="440"/>
      <c r="BG23" s="440"/>
      <c r="BH23" s="440"/>
      <c r="BI23" s="440"/>
    </row>
    <row r="24" spans="1:61" s="438" customFormat="1" ht="32.25" customHeight="1" x14ac:dyDescent="0.4">
      <c r="A24" s="429">
        <v>237</v>
      </c>
      <c r="B24" s="430" t="s">
        <v>768</v>
      </c>
      <c r="C24" s="431" t="s">
        <v>9</v>
      </c>
      <c r="D24" s="429" t="s">
        <v>472</v>
      </c>
      <c r="E24" s="432" t="s">
        <v>1053</v>
      </c>
      <c r="F24" s="433" t="s">
        <v>906</v>
      </c>
      <c r="G24" s="434">
        <v>320000</v>
      </c>
      <c r="H24" s="431" t="s">
        <v>696</v>
      </c>
      <c r="I24" s="431" t="s">
        <v>953</v>
      </c>
      <c r="J24" s="431" t="s">
        <v>964</v>
      </c>
      <c r="K24" s="435">
        <v>3</v>
      </c>
      <c r="L24" s="436">
        <v>3000</v>
      </c>
      <c r="M24" s="439" t="s">
        <v>907</v>
      </c>
      <c r="N24" s="474" t="s">
        <v>861</v>
      </c>
      <c r="O24" s="485" t="s">
        <v>1015</v>
      </c>
      <c r="P24" s="440"/>
      <c r="Q24" s="440"/>
      <c r="R24" s="440"/>
      <c r="S24" s="440"/>
      <c r="T24" s="440"/>
      <c r="U24" s="440"/>
      <c r="V24" s="440"/>
      <c r="W24" s="440"/>
      <c r="X24" s="440"/>
      <c r="Y24" s="440"/>
      <c r="Z24" s="440"/>
      <c r="AA24" s="440"/>
      <c r="AB24" s="440"/>
      <c r="AC24" s="440"/>
      <c r="AD24" s="440"/>
      <c r="AE24" s="440"/>
      <c r="AF24" s="440"/>
      <c r="AG24" s="440"/>
      <c r="AH24" s="440"/>
      <c r="AI24" s="440"/>
      <c r="AJ24" s="440"/>
      <c r="AK24" s="440"/>
      <c r="AL24" s="440"/>
      <c r="AM24" s="440"/>
      <c r="AN24" s="440"/>
      <c r="AO24" s="440"/>
      <c r="AP24" s="440"/>
      <c r="AQ24" s="440"/>
      <c r="AR24" s="440"/>
      <c r="AS24" s="440"/>
      <c r="AT24" s="440"/>
      <c r="AU24" s="440"/>
      <c r="AV24" s="440"/>
      <c r="AW24" s="440"/>
      <c r="AX24" s="440"/>
      <c r="AY24" s="440"/>
      <c r="AZ24" s="440"/>
      <c r="BA24" s="440"/>
      <c r="BB24" s="440"/>
      <c r="BC24" s="440"/>
      <c r="BD24" s="440"/>
      <c r="BE24" s="440"/>
      <c r="BF24" s="440"/>
      <c r="BG24" s="440"/>
      <c r="BH24" s="440"/>
      <c r="BI24" s="440"/>
    </row>
    <row r="25" spans="1:61" s="375" customFormat="1" ht="32.25" customHeight="1" x14ac:dyDescent="0.4">
      <c r="A25" s="363">
        <v>242</v>
      </c>
      <c r="B25" s="364" t="s">
        <v>510</v>
      </c>
      <c r="C25" s="365" t="s">
        <v>656</v>
      </c>
      <c r="D25" s="363" t="s">
        <v>105</v>
      </c>
      <c r="E25" s="366" t="s">
        <v>942</v>
      </c>
      <c r="F25" s="367" t="s">
        <v>943</v>
      </c>
      <c r="G25" s="368">
        <v>470000</v>
      </c>
      <c r="H25" s="369" t="s">
        <v>794</v>
      </c>
      <c r="I25" s="370" t="s">
        <v>864</v>
      </c>
      <c r="J25" s="371" t="s">
        <v>1009</v>
      </c>
      <c r="K25" s="372">
        <v>2.5</v>
      </c>
      <c r="L25" s="373">
        <v>4300</v>
      </c>
      <c r="M25" s="374" t="s">
        <v>944</v>
      </c>
      <c r="N25" s="470" t="s">
        <v>945</v>
      </c>
      <c r="O25" s="482" t="s">
        <v>1062</v>
      </c>
      <c r="P25" s="402"/>
      <c r="Q25" s="402"/>
      <c r="R25" s="402"/>
      <c r="S25" s="402"/>
      <c r="T25" s="402"/>
      <c r="U25" s="402"/>
      <c r="V25" s="402"/>
      <c r="W25" s="402"/>
      <c r="X25" s="402"/>
      <c r="Y25" s="402"/>
      <c r="Z25" s="402"/>
      <c r="AA25" s="402"/>
      <c r="AB25" s="402"/>
      <c r="AC25" s="402"/>
      <c r="AD25" s="402"/>
      <c r="AE25" s="402"/>
      <c r="AF25" s="402"/>
      <c r="AG25" s="402"/>
      <c r="AH25" s="402"/>
      <c r="AI25" s="402"/>
      <c r="AJ25" s="402"/>
      <c r="AK25" s="402"/>
      <c r="AL25" s="402"/>
      <c r="AM25" s="402"/>
      <c r="AN25" s="402"/>
      <c r="AO25" s="402"/>
      <c r="AP25" s="402"/>
      <c r="AQ25" s="402"/>
      <c r="AR25" s="402"/>
      <c r="AS25" s="402"/>
      <c r="AT25" s="402"/>
      <c r="AU25" s="402"/>
      <c r="AV25" s="402"/>
      <c r="AW25" s="402"/>
      <c r="AX25" s="402"/>
      <c r="AY25" s="402"/>
      <c r="AZ25" s="402"/>
      <c r="BA25" s="402"/>
      <c r="BB25" s="402"/>
      <c r="BC25" s="402"/>
      <c r="BD25" s="402"/>
      <c r="BE25" s="402"/>
      <c r="BF25" s="402"/>
      <c r="BG25" s="402"/>
      <c r="BH25" s="402"/>
      <c r="BI25" s="402"/>
    </row>
    <row r="26" spans="1:61" s="360" customFormat="1" ht="32.25" customHeight="1" x14ac:dyDescent="0.4">
      <c r="A26" s="351">
        <v>245</v>
      </c>
      <c r="B26" s="352" t="s">
        <v>489</v>
      </c>
      <c r="C26" s="353" t="s">
        <v>14</v>
      </c>
      <c r="D26" s="351" t="s">
        <v>105</v>
      </c>
      <c r="E26" s="354" t="s">
        <v>969</v>
      </c>
      <c r="F26" s="355" t="s">
        <v>970</v>
      </c>
      <c r="G26" s="356">
        <v>440000</v>
      </c>
      <c r="H26" s="353" t="s">
        <v>981</v>
      </c>
      <c r="I26" s="353" t="s">
        <v>982</v>
      </c>
      <c r="J26" s="353" t="s">
        <v>983</v>
      </c>
      <c r="K26" s="357">
        <v>2.5</v>
      </c>
      <c r="L26" s="358">
        <v>4000</v>
      </c>
      <c r="M26" s="359" t="s">
        <v>990</v>
      </c>
      <c r="N26" s="471" t="s">
        <v>861</v>
      </c>
      <c r="O26" s="483" t="s">
        <v>1015</v>
      </c>
      <c r="P26" s="425"/>
      <c r="Q26" s="425"/>
      <c r="R26" s="425"/>
      <c r="S26" s="425"/>
      <c r="T26" s="425"/>
      <c r="U26" s="425"/>
      <c r="V26" s="425"/>
      <c r="W26" s="425"/>
      <c r="X26" s="425"/>
      <c r="Y26" s="425"/>
      <c r="Z26" s="425"/>
      <c r="AA26" s="425"/>
      <c r="AB26" s="425"/>
      <c r="AC26" s="425"/>
      <c r="AD26" s="425"/>
      <c r="AE26" s="425"/>
      <c r="AF26" s="425"/>
      <c r="AG26" s="425"/>
      <c r="AH26" s="425"/>
      <c r="AI26" s="425"/>
      <c r="AJ26" s="425"/>
      <c r="AK26" s="425"/>
      <c r="AL26" s="425"/>
      <c r="AM26" s="425"/>
      <c r="AN26" s="425"/>
      <c r="AO26" s="425"/>
      <c r="AP26" s="425"/>
      <c r="AQ26" s="425"/>
      <c r="AR26" s="425"/>
      <c r="AS26" s="425"/>
      <c r="AT26" s="425"/>
      <c r="AU26" s="425"/>
      <c r="AV26" s="425"/>
      <c r="AW26" s="425"/>
      <c r="AX26" s="425"/>
      <c r="AY26" s="425"/>
      <c r="AZ26" s="425"/>
      <c r="BA26" s="425"/>
      <c r="BB26" s="425"/>
      <c r="BC26" s="425"/>
      <c r="BD26" s="425"/>
      <c r="BE26" s="425"/>
      <c r="BF26" s="425"/>
      <c r="BG26" s="425"/>
      <c r="BH26" s="425"/>
      <c r="BI26" s="425"/>
    </row>
    <row r="27" spans="1:61" s="300" customFormat="1" ht="32.25" customHeight="1" x14ac:dyDescent="0.4">
      <c r="A27" s="155">
        <v>246</v>
      </c>
      <c r="B27" s="152" t="s">
        <v>588</v>
      </c>
      <c r="C27" s="172" t="s">
        <v>687</v>
      </c>
      <c r="D27" s="155" t="s">
        <v>767</v>
      </c>
      <c r="E27" s="180" t="s">
        <v>972</v>
      </c>
      <c r="F27" s="177" t="s">
        <v>1045</v>
      </c>
      <c r="G27" s="153">
        <v>310000</v>
      </c>
      <c r="H27" s="172"/>
      <c r="I27" s="172"/>
      <c r="J27" s="172"/>
      <c r="K27" s="190">
        <v>2.5</v>
      </c>
      <c r="L27" s="313">
        <v>4000</v>
      </c>
      <c r="M27" s="152" t="s">
        <v>1046</v>
      </c>
      <c r="N27" s="467" t="s">
        <v>861</v>
      </c>
      <c r="O27" s="479" t="s">
        <v>1015</v>
      </c>
    </row>
    <row r="28" spans="1:61" s="413" customFormat="1" ht="32.25" customHeight="1" x14ac:dyDescent="0.4">
      <c r="A28" s="403">
        <v>249</v>
      </c>
      <c r="B28" s="404" t="s">
        <v>489</v>
      </c>
      <c r="C28" s="405" t="s">
        <v>687</v>
      </c>
      <c r="D28" s="403" t="s">
        <v>767</v>
      </c>
      <c r="E28" s="406" t="s">
        <v>1047</v>
      </c>
      <c r="F28" s="407" t="s">
        <v>1000</v>
      </c>
      <c r="G28" s="408">
        <v>620000</v>
      </c>
      <c r="H28" s="409" t="s">
        <v>1048</v>
      </c>
      <c r="I28" s="409" t="s">
        <v>916</v>
      </c>
      <c r="J28" s="405" t="s">
        <v>1007</v>
      </c>
      <c r="K28" s="410">
        <v>4</v>
      </c>
      <c r="L28" s="411">
        <v>4500</v>
      </c>
      <c r="M28" s="412" t="s">
        <v>1001</v>
      </c>
      <c r="N28" s="475" t="s">
        <v>861</v>
      </c>
      <c r="O28" s="487" t="s">
        <v>1015</v>
      </c>
      <c r="P28" s="489"/>
      <c r="Q28" s="489"/>
      <c r="R28" s="489"/>
      <c r="S28" s="489"/>
      <c r="T28" s="489"/>
      <c r="U28" s="489"/>
      <c r="V28" s="489"/>
      <c r="W28" s="489"/>
      <c r="X28" s="489"/>
      <c r="Y28" s="489"/>
      <c r="Z28" s="489"/>
      <c r="AA28" s="489"/>
      <c r="AB28" s="489"/>
      <c r="AC28" s="489"/>
      <c r="AD28" s="489"/>
      <c r="AE28" s="489"/>
      <c r="AF28" s="489"/>
      <c r="AG28" s="489"/>
      <c r="AH28" s="489"/>
      <c r="AI28" s="489"/>
      <c r="AJ28" s="489"/>
      <c r="AK28" s="489"/>
      <c r="AL28" s="489"/>
      <c r="AM28" s="489"/>
      <c r="AN28" s="489"/>
      <c r="AO28" s="489"/>
      <c r="AP28" s="489"/>
      <c r="AQ28" s="489"/>
      <c r="AR28" s="489"/>
      <c r="AS28" s="489"/>
      <c r="AT28" s="489"/>
      <c r="AU28" s="489"/>
      <c r="AV28" s="489"/>
      <c r="AW28" s="489"/>
      <c r="AX28" s="489"/>
      <c r="AY28" s="489"/>
      <c r="AZ28" s="489"/>
      <c r="BA28" s="489"/>
      <c r="BB28" s="489"/>
      <c r="BC28" s="489"/>
      <c r="BD28" s="489"/>
      <c r="BE28" s="489"/>
      <c r="BF28" s="489"/>
      <c r="BG28" s="489"/>
      <c r="BH28" s="489"/>
      <c r="BI28" s="489"/>
    </row>
  </sheetData>
  <phoneticPr fontId="2" type="noConversion"/>
  <pageMargins left="0.31496062992125984" right="0.31496062992125984" top="0.35433070866141736" bottom="0.35433070866141736" header="0.31496062992125984" footer="0.31496062992125984"/>
  <pageSetup paperSize="9" scale="75" orientation="landscape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9</vt:i4>
      </vt:variant>
    </vt:vector>
  </HeadingPairs>
  <TitlesOfParts>
    <vt:vector size="19" baseType="lpstr">
      <vt:lpstr>Sheet6</vt:lpstr>
      <vt:lpstr>堆高機租賃-家煌</vt:lpstr>
      <vt:lpstr>堆高機租賃-銀行 108.11.22</vt:lpstr>
      <vt:lpstr>堆高機存貨-銀行108.11.22</vt:lpstr>
      <vt:lpstr>堆高機</vt:lpstr>
      <vt:lpstr>已售</vt:lpstr>
      <vt:lpstr>Sheet1</vt:lpstr>
      <vt:lpstr>Sheet2</vt:lpstr>
      <vt:lpstr>Sheet3</vt:lpstr>
      <vt:lpstr>Sheet4</vt:lpstr>
      <vt:lpstr>堆高機!Print_Area</vt:lpstr>
      <vt:lpstr>'堆高機存貨-銀行108.11.22'!Print_Area</vt:lpstr>
      <vt:lpstr>'堆高機租賃-家煌'!Print_Area</vt:lpstr>
      <vt:lpstr>'堆高機租賃-銀行 108.11.22'!Print_Area</vt:lpstr>
      <vt:lpstr>已售!Print_Titles</vt:lpstr>
      <vt:lpstr>堆高機!Print_Titles</vt:lpstr>
      <vt:lpstr>'堆高機存貨-銀行108.11.22'!Print_Titles</vt:lpstr>
      <vt:lpstr>'堆高機租賃-家煌'!Print_Titles</vt:lpstr>
      <vt:lpstr>'堆高機租賃-銀行 108.11.22'!Print_Titles</vt:lpstr>
    </vt:vector>
  </TitlesOfParts>
  <Company>CMT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TIGER-XP</dc:creator>
  <cp:lastModifiedBy>蘇麗卿</cp:lastModifiedBy>
  <cp:lastPrinted>2023-06-01T05:21:44Z</cp:lastPrinted>
  <dcterms:created xsi:type="dcterms:W3CDTF">2013-07-11T00:09:15Z</dcterms:created>
  <dcterms:modified xsi:type="dcterms:W3CDTF">2026-03-18T06:49:29Z</dcterms:modified>
</cp:coreProperties>
</file>